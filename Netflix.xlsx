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ithub Financial Models\Models\"/>
    </mc:Choice>
  </mc:AlternateContent>
  <xr:revisionPtr revIDLastSave="0" documentId="13_ncr:1_{15615B94-5D3D-4E7B-80FF-6AD59987B17E}" xr6:coauthVersionLast="47" xr6:coauthVersionMax="47" xr10:uidLastSave="{00000000-0000-0000-0000-000000000000}"/>
  <bookViews>
    <workbookView xWindow="-120" yWindow="-120" windowWidth="29040" windowHeight="15840" xr2:uid="{9417510D-EF1D-4BD7-9328-FA7989ACBF79}"/>
  </bookViews>
  <sheets>
    <sheet name="Main" sheetId="1" r:id="rId1"/>
    <sheet name="Big 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1" l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S16" i="1"/>
  <c r="C7" i="2"/>
  <c r="C4" i="2"/>
  <c r="Q27" i="1"/>
  <c r="S20" i="1"/>
  <c r="S19" i="1"/>
  <c r="S18" i="1"/>
  <c r="S15" i="1"/>
  <c r="S14" i="1"/>
  <c r="S13" i="1"/>
  <c r="S12" i="1"/>
  <c r="S11" i="1"/>
  <c r="S10" i="1"/>
  <c r="S9" i="1"/>
  <c r="S8" i="1"/>
  <c r="S7" i="1"/>
  <c r="S6" i="1"/>
  <c r="S4" i="1"/>
  <c r="S3" i="1"/>
  <c r="S2" i="1"/>
  <c r="R16" i="1"/>
  <c r="R15" i="1"/>
  <c r="R14" i="1"/>
  <c r="R13" i="1"/>
  <c r="R12" i="1"/>
  <c r="R11" i="1"/>
  <c r="R10" i="1"/>
  <c r="R9" i="1"/>
  <c r="R19" i="1" s="1"/>
  <c r="R8" i="1"/>
  <c r="R7" i="1"/>
  <c r="R6" i="1"/>
  <c r="R5" i="1"/>
  <c r="R4" i="1"/>
  <c r="R3" i="1"/>
  <c r="R20" i="1"/>
  <c r="R18" i="1"/>
  <c r="Q20" i="1"/>
  <c r="Q19" i="1"/>
  <c r="Q18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P20" i="1"/>
  <c r="P19" i="1"/>
  <c r="P18" i="1"/>
  <c r="P23" i="1"/>
  <c r="P22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R2" i="1"/>
  <c r="Q2" i="1"/>
  <c r="P2" i="1"/>
  <c r="M22" i="1"/>
  <c r="M18" i="1"/>
  <c r="M9" i="1"/>
  <c r="M14" i="1" s="1"/>
  <c r="M16" i="1" s="1"/>
  <c r="M4" i="1"/>
  <c r="M3" i="1"/>
  <c r="M2" i="1"/>
  <c r="L23" i="1"/>
  <c r="L22" i="1"/>
  <c r="L20" i="1"/>
  <c r="L19" i="1"/>
  <c r="L18" i="1"/>
  <c r="L16" i="1"/>
  <c r="L14" i="1"/>
  <c r="L9" i="1"/>
  <c r="L8" i="1"/>
  <c r="L7" i="1"/>
  <c r="L6" i="1"/>
  <c r="L4" i="1"/>
  <c r="L3" i="1"/>
  <c r="L2" i="1"/>
  <c r="C91" i="1"/>
  <c r="B87" i="1"/>
  <c r="B78" i="1"/>
  <c r="B71" i="1"/>
  <c r="C87" i="1"/>
  <c r="C78" i="1"/>
  <c r="C71" i="1"/>
  <c r="B44" i="1"/>
  <c r="B49" i="1" s="1"/>
  <c r="B31" i="1"/>
  <c r="B35" i="1" s="1"/>
  <c r="C5" i="2"/>
  <c r="B22" i="1"/>
  <c r="C22" i="1"/>
  <c r="D22" i="1"/>
  <c r="E22" i="1"/>
  <c r="F22" i="1"/>
  <c r="G22" i="1"/>
  <c r="H22" i="1"/>
  <c r="I22" i="1"/>
  <c r="J22" i="1"/>
  <c r="K22" i="1"/>
  <c r="B4" i="1"/>
  <c r="B18" i="1" s="1"/>
  <c r="C4" i="1"/>
  <c r="C18" i="1" s="1"/>
  <c r="I4" i="1"/>
  <c r="I18" i="1" s="1"/>
  <c r="D4" i="1"/>
  <c r="D18" i="1" s="1"/>
  <c r="E4" i="1"/>
  <c r="E9" i="1" s="1"/>
  <c r="F4" i="1"/>
  <c r="F18" i="1" s="1"/>
  <c r="J4" i="1"/>
  <c r="J18" i="1" s="1"/>
  <c r="H4" i="1"/>
  <c r="H9" i="1" s="1"/>
  <c r="G4" i="1"/>
  <c r="G18" i="1" s="1"/>
  <c r="K4" i="1"/>
  <c r="K9" i="1" s="1"/>
  <c r="Q26" i="1" l="1"/>
  <c r="Q29" i="1" s="1"/>
  <c r="M20" i="1"/>
  <c r="M23" i="1"/>
  <c r="M19" i="1"/>
  <c r="K14" i="1"/>
  <c r="K16" i="1" s="1"/>
  <c r="K19" i="1"/>
  <c r="K18" i="1"/>
  <c r="C9" i="1"/>
  <c r="C14" i="1" s="1"/>
  <c r="C16" i="1" s="1"/>
  <c r="B51" i="1"/>
  <c r="J9" i="1"/>
  <c r="J14" i="1" s="1"/>
  <c r="J16" i="1" s="1"/>
  <c r="B9" i="1"/>
  <c r="C19" i="1"/>
  <c r="D9" i="1"/>
  <c r="D14" i="1" s="1"/>
  <c r="D16" i="1" s="1"/>
  <c r="F9" i="1"/>
  <c r="F14" i="1" s="1"/>
  <c r="F16" i="1" s="1"/>
  <c r="I9" i="1"/>
  <c r="I14" i="1" s="1"/>
  <c r="I16" i="1" s="1"/>
  <c r="E19" i="1"/>
  <c r="E14" i="1"/>
  <c r="E16" i="1" s="1"/>
  <c r="E18" i="1"/>
  <c r="J19" i="1"/>
  <c r="H14" i="1"/>
  <c r="H16" i="1" s="1"/>
  <c r="H19" i="1"/>
  <c r="H18" i="1"/>
  <c r="G9" i="1"/>
  <c r="I20" i="1" l="1"/>
  <c r="I23" i="1"/>
  <c r="B14" i="1"/>
  <c r="B16" i="1" s="1"/>
  <c r="F20" i="1"/>
  <c r="J20" i="1"/>
  <c r="J23" i="1"/>
  <c r="E20" i="1"/>
  <c r="E23" i="1"/>
  <c r="D20" i="1"/>
  <c r="D23" i="1"/>
  <c r="K20" i="1"/>
  <c r="K23" i="1"/>
  <c r="H20" i="1"/>
  <c r="H23" i="1"/>
  <c r="C20" i="1"/>
  <c r="C23" i="1"/>
  <c r="B19" i="1"/>
  <c r="D19" i="1"/>
  <c r="F19" i="1"/>
  <c r="I19" i="1"/>
  <c r="G14" i="1"/>
  <c r="G16" i="1" s="1"/>
  <c r="G19" i="1"/>
  <c r="B20" i="1" l="1"/>
  <c r="B23" i="1"/>
  <c r="F23" i="1"/>
  <c r="G20" i="1"/>
  <c r="G23" i="1"/>
</calcChain>
</file>

<file path=xl/sharedStrings.xml><?xml version="1.0" encoding="utf-8"?>
<sst xmlns="http://schemas.openxmlformats.org/spreadsheetml/2006/main" count="103" uniqueCount="96">
  <si>
    <t>Price</t>
  </si>
  <si>
    <t>SO</t>
  </si>
  <si>
    <t>MC</t>
  </si>
  <si>
    <t xml:space="preserve">Cash </t>
  </si>
  <si>
    <t>Debt</t>
  </si>
  <si>
    <t>EV</t>
  </si>
  <si>
    <t>Revenues</t>
  </si>
  <si>
    <t>Cost of Revenues</t>
  </si>
  <si>
    <t>Gross Profit</t>
  </si>
  <si>
    <t xml:space="preserve">Marketing </t>
  </si>
  <si>
    <t>Technology and Development</t>
  </si>
  <si>
    <t>G &amp; A</t>
  </si>
  <si>
    <t>Operating Income</t>
  </si>
  <si>
    <t>Other Income (expense)</t>
  </si>
  <si>
    <t>Interest expense</t>
  </si>
  <si>
    <t>Interest and other income (expense)</t>
  </si>
  <si>
    <t>Income before income taxes</t>
  </si>
  <si>
    <t>Benefit from (provisio for) income taxes</t>
  </si>
  <si>
    <t>Net Income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</si>
  <si>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</si>
  <si>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</si>
  <si>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</si>
  <si>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</si>
  <si>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</si>
  <si>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</si>
  <si>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</si>
  <si>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</si>
  <si>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</si>
  <si>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</si>
  <si>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</si>
  <si>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</si>
  <si>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Gross Margin</t>
  </si>
  <si>
    <t>Operating Margin</t>
  </si>
  <si>
    <t>Net Margin</t>
  </si>
  <si>
    <t>Revenue y/y</t>
  </si>
  <si>
    <t>Net Income y/y</t>
  </si>
  <si>
    <t>Balance Sheet</t>
  </si>
  <si>
    <t>Assets</t>
  </si>
  <si>
    <t>Current Assets</t>
  </si>
  <si>
    <t>Short-term investments</t>
  </si>
  <si>
    <t>Other current assets</t>
  </si>
  <si>
    <t>Total current assets</t>
  </si>
  <si>
    <t>Content Assets, net</t>
  </si>
  <si>
    <t>PPE</t>
  </si>
  <si>
    <t>Total Assets</t>
  </si>
  <si>
    <t>Liabilities</t>
  </si>
  <si>
    <t>Current Liabilities</t>
  </si>
  <si>
    <t>Current content liabilities</t>
  </si>
  <si>
    <t>Accounts payable</t>
  </si>
  <si>
    <t>Accrued expenses and other liabilities</t>
  </si>
  <si>
    <t>Deferred revenue</t>
  </si>
  <si>
    <t>Short-term debt</t>
  </si>
  <si>
    <t>Total current liabilities</t>
  </si>
  <si>
    <t>Non-current content liabilities</t>
  </si>
  <si>
    <t>Long-term debt</t>
  </si>
  <si>
    <t>Other non-current liabilities</t>
  </si>
  <si>
    <t>Total Liabilities</t>
  </si>
  <si>
    <t>SE</t>
  </si>
  <si>
    <t xml:space="preserve">Annual Cash Flow Statements </t>
  </si>
  <si>
    <t>Cash Flow from operating activities:</t>
  </si>
  <si>
    <t xml:space="preserve">Adjustments to reconcile </t>
  </si>
  <si>
    <t xml:space="preserve">Additions to content assets </t>
  </si>
  <si>
    <t>Change in content liabilities</t>
  </si>
  <si>
    <t>Amortization of content assets</t>
  </si>
  <si>
    <t>D&amp; A of PPE and intangibles</t>
  </si>
  <si>
    <t>Stock based compensation expense</t>
  </si>
  <si>
    <t>Foreign currency loss (gain)</t>
  </si>
  <si>
    <t>Other non-cash items</t>
  </si>
  <si>
    <t>Deferred income taxes</t>
  </si>
  <si>
    <t>Changes in operating assets and liabilities</t>
  </si>
  <si>
    <t>A/P</t>
  </si>
  <si>
    <t>AE and other</t>
  </si>
  <si>
    <t>Other non-current assets and liabiltieis</t>
  </si>
  <si>
    <t>Net cash provided by operating activities</t>
  </si>
  <si>
    <t>Cash flows from investing activities</t>
  </si>
  <si>
    <t>Purchases of PPE</t>
  </si>
  <si>
    <t>Change in other assets</t>
  </si>
  <si>
    <t>Acquisitions</t>
  </si>
  <si>
    <t>Purchases of short-term investments</t>
  </si>
  <si>
    <t>Proceeds from issuance of debt</t>
  </si>
  <si>
    <t>Debt issuance costs</t>
  </si>
  <si>
    <t>Repayment of debt</t>
  </si>
  <si>
    <t>Proceeds from issuance of stock</t>
  </si>
  <si>
    <t>Repurchases of common stock</t>
  </si>
  <si>
    <t>Taxes paid related to net share settlemtn of equity</t>
  </si>
  <si>
    <t>Net Cash provided by (used in) financing</t>
  </si>
  <si>
    <t>Net cash used in investing</t>
  </si>
  <si>
    <t>Effect of exchange rate changes on cash</t>
  </si>
  <si>
    <t>Net increase (decreased) in cash</t>
  </si>
  <si>
    <t>Cash beginning of the year</t>
  </si>
  <si>
    <t>Cash at the end of year</t>
  </si>
  <si>
    <t>Cash flows from financing activities</t>
  </si>
  <si>
    <t xml:space="preserve">Annual </t>
  </si>
  <si>
    <t>Discount Rate</t>
  </si>
  <si>
    <t>Net Present Value of Cash Flows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</si>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</sst>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0" borderId="0" xfId="0" applyFont="1"/>
    <xf numFmtId="165" fontId="3" fillId="0" borderId="0" xfId="1" applyNumberFormat="1" applyFont="1"/>
    <xf numFmtId="165" fontId="0" fillId="0" borderId="0" xfId="1" applyNumberFormat="1" applyFont="1"/>
    <xf numFmtId="9" fontId="0" fillId="0" borderId="0" xfId="0" applyNumberFormat="1"/>
    <xf numFmtId="165" fontId="0" fillId="0" borderId="0" xfId="0" applyNumberFormat="1"/>
    <xf numFmtId="15" fontId="0" fillId="0" borderId="0" xfId="0" applyNumberFormat="1"/>
    <xf numFmtId="165" fontId="1" fillId="0" borderId="0" xfId="1" applyNumberFormat="1" applyFont="1"/>
    <xf numFmtId="165" fontId="3" fillId="0" borderId="0" xfId="0" applyNumberFormat="1" applyFont="1"/>
    <xf numFmtId="165" fontId="0" fillId="0" borderId="0" xfId="0" applyNumberFormat="1" applyFont="1"/>
    <xf numFmtId="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FA6E-E467-444E-86B4-AF4C13050570}">
  <dimension ref="A1:AI91"/>
  <sheetViews>
    <sheetView tabSelected="1" zoomScale="115" zoomScaleNormal="115" workbookViewId="0">
      <pane xSplit="1" topLeftCell="M1" activePane="topRight" state="frozen"/>
      <selection pane="topRight" activeCell="Q25" sqref="Q25"/>
    </sheetView>
  </sheetViews>
  <sheetFormatPr defaultRowHeight="14.25" x14ac:dyDescent="0.2"/>
  <cols>
    <col min="1" max="1" width="42.125" bestFit="1" customWidth="1"/>
    <col min="2" max="2" width="12.625" bestFit="1" customWidth="1"/>
    <col min="3" max="3" width="12.75" bestFit="1" customWidth="1"/>
    <col min="4" max="10" width="10.125" bestFit="1" customWidth="1"/>
    <col min="11" max="11" width="12.625" bestFit="1" customWidth="1"/>
    <col min="12" max="12" width="12.875" bestFit="1" customWidth="1"/>
    <col min="13" max="13" width="10.25" bestFit="1" customWidth="1"/>
    <col min="16" max="16" width="11.25" bestFit="1" customWidth="1"/>
    <col min="17" max="17" width="14.125" bestFit="1" customWidth="1"/>
    <col min="18" max="18" width="11.25" bestFit="1" customWidth="1"/>
    <col min="19" max="19" width="13.875" bestFit="1" customWidth="1"/>
    <col min="20" max="24" width="10.25" bestFit="1" customWidth="1"/>
    <col min="25" max="25" width="11.25" bestFit="1" customWidth="1"/>
    <col min="26" max="34" width="10.25" bestFit="1" customWidth="1"/>
  </cols>
  <sheetData>
    <row r="1" spans="1:35" ht="15" x14ac:dyDescent="0.25"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s="2" t="s">
        <v>29</v>
      </c>
      <c r="M1" s="2" t="s">
        <v>30</v>
      </c>
      <c r="O1" s="1" t="s">
        <v>92</v>
      </c>
      <c r="P1">
        <v>2021</v>
      </c>
      <c r="Q1">
        <v>2022</v>
      </c>
      <c r="R1" s="2">
        <v>2023</v>
      </c>
      <c r="S1" s="2">
        <v>2024</v>
      </c>
      <c r="T1" s="2">
        <v>2025</v>
      </c>
      <c r="U1" s="2">
        <v>2026</v>
      </c>
      <c r="V1" s="2">
        <v>2027</v>
      </c>
      <c r="W1" s="2">
        <v>2028</v>
      </c>
      <c r="X1" s="2">
        <v>2029</v>
      </c>
      <c r="Y1" s="2">
        <v>2030</v>
      </c>
      <c r="Z1" s="2">
        <v>2031</v>
      </c>
      <c r="AA1" s="2">
        <v>2032</v>
      </c>
      <c r="AB1" s="2">
        <v>2033</v>
      </c>
      <c r="AC1" s="2">
        <v>2034</v>
      </c>
      <c r="AD1" s="2">
        <v>2035</v>
      </c>
      <c r="AE1" s="2">
        <v>2036</v>
      </c>
      <c r="AF1" s="2">
        <v>2037</v>
      </c>
      <c r="AG1" s="2">
        <v>2038</v>
      </c>
      <c r="AH1" s="2">
        <v>2039</v>
      </c>
      <c r="AI1" s="2">
        <v>2040</v>
      </c>
    </row>
    <row r="2" spans="1:35" s="1" customFormat="1" ht="15" x14ac:dyDescent="0.25">
      <c r="A2" s="1" t="s">
        <v>6</v>
      </c>
      <c r="B2" s="3">
        <v>7163282</v>
      </c>
      <c r="C2" s="3">
        <v>7341777</v>
      </c>
      <c r="D2" s="3">
        <v>7483467</v>
      </c>
      <c r="E2" s="3">
        <v>7709348</v>
      </c>
      <c r="F2" s="3">
        <v>7867767</v>
      </c>
      <c r="G2" s="3">
        <v>7970141</v>
      </c>
      <c r="H2" s="3">
        <v>7925589</v>
      </c>
      <c r="I2" s="3">
        <v>7852053</v>
      </c>
      <c r="J2" s="3">
        <v>8161503</v>
      </c>
      <c r="K2" s="3">
        <v>8187301</v>
      </c>
      <c r="L2" s="3">
        <f>K2 *1.03</f>
        <v>8432920.0299999993</v>
      </c>
      <c r="M2" s="3">
        <f xml:space="preserve"> I2 * 1.04</f>
        <v>8166135.1200000001</v>
      </c>
      <c r="P2" s="9">
        <f xml:space="preserve"> SUM(B2:E2)</f>
        <v>29697874</v>
      </c>
      <c r="Q2" s="9">
        <f>SUM(F2:I2)</f>
        <v>31615550</v>
      </c>
      <c r="R2" s="9">
        <f>SUM(J2:M2)</f>
        <v>32947859.150000002</v>
      </c>
      <c r="S2" s="3">
        <f>R2*1.05</f>
        <v>34595252.107500002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x14ac:dyDescent="0.2">
      <c r="A3" t="s">
        <v>7</v>
      </c>
      <c r="B3" s="4">
        <v>3868511</v>
      </c>
      <c r="C3" s="4">
        <v>4018008</v>
      </c>
      <c r="D3" s="4">
        <v>4206589</v>
      </c>
      <c r="E3" s="4">
        <v>5239575</v>
      </c>
      <c r="F3" s="4">
        <v>4284705</v>
      </c>
      <c r="G3" s="4">
        <v>4690755</v>
      </c>
      <c r="H3" s="4">
        <v>4788665</v>
      </c>
      <c r="I3" s="4">
        <v>5404160</v>
      </c>
      <c r="J3" s="4">
        <v>4803625</v>
      </c>
      <c r="K3" s="4">
        <v>4673470</v>
      </c>
      <c r="L3" s="8">
        <f>K3 *1.03</f>
        <v>4813674.1000000006</v>
      </c>
      <c r="M3" s="8">
        <f xml:space="preserve"> I3 * 1.04</f>
        <v>5620326.4000000004</v>
      </c>
      <c r="P3" s="10">
        <f t="shared" ref="P3:P23" si="0" xml:space="preserve"> SUM(B3:E3)</f>
        <v>17332683</v>
      </c>
      <c r="Q3" s="10">
        <f t="shared" ref="Q3:Q16" si="1">SUM(F3:I3)</f>
        <v>19168285</v>
      </c>
      <c r="R3" s="10">
        <f t="shared" ref="R3:R16" si="2">SUM(J3:M3)</f>
        <v>19911095.5</v>
      </c>
      <c r="S3" s="8">
        <f>R3*1.05</f>
        <v>20906650.275000002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s="1" customFormat="1" ht="15" x14ac:dyDescent="0.25">
      <c r="A4" s="1" t="s">
        <v>8</v>
      </c>
      <c r="B4" s="3">
        <f xml:space="preserve"> B2 - B3</f>
        <v>3294771</v>
      </c>
      <c r="C4" s="3">
        <f xml:space="preserve"> C2 - C3</f>
        <v>3323769</v>
      </c>
      <c r="D4" s="3">
        <f xml:space="preserve"> D2 - D3</f>
        <v>3276878</v>
      </c>
      <c r="E4" s="3">
        <f xml:space="preserve"> E2 - E3</f>
        <v>2469773</v>
      </c>
      <c r="F4" s="3">
        <f xml:space="preserve"> F2 - F3</f>
        <v>3583062</v>
      </c>
      <c r="G4" s="3">
        <f xml:space="preserve"> G2 - G3</f>
        <v>3279386</v>
      </c>
      <c r="H4" s="3">
        <f xml:space="preserve"> H2 - H3</f>
        <v>3136924</v>
      </c>
      <c r="I4" s="3">
        <f xml:space="preserve"> I2 - I3</f>
        <v>2447893</v>
      </c>
      <c r="J4" s="3">
        <f xml:space="preserve"> J2 - J3</f>
        <v>3357878</v>
      </c>
      <c r="K4" s="3">
        <f xml:space="preserve"> K2 - K3</f>
        <v>3513831</v>
      </c>
      <c r="L4" s="3">
        <f>K4 *1.03</f>
        <v>3619245.93</v>
      </c>
      <c r="M4" s="3">
        <f xml:space="preserve"> I4 * 1.04</f>
        <v>2545808.7200000002</v>
      </c>
      <c r="P4" s="9">
        <f t="shared" si="0"/>
        <v>12365191</v>
      </c>
      <c r="Q4" s="9">
        <f t="shared" si="1"/>
        <v>12447265</v>
      </c>
      <c r="R4" s="9">
        <f t="shared" si="2"/>
        <v>13036763.65</v>
      </c>
      <c r="S4" s="3">
        <f>R4*1.05</f>
        <v>13688601.832500001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ht="15" x14ac:dyDescent="0.2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P5" s="9">
        <f t="shared" si="0"/>
        <v>0</v>
      </c>
      <c r="Q5" s="9">
        <f t="shared" si="1"/>
        <v>0</v>
      </c>
      <c r="R5" s="9">
        <f t="shared" si="2"/>
        <v>0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">
      <c r="A6" t="s">
        <v>9</v>
      </c>
      <c r="B6" s="4">
        <v>512512</v>
      </c>
      <c r="C6" s="4">
        <v>603973</v>
      </c>
      <c r="D6" s="4">
        <v>635948</v>
      </c>
      <c r="E6" s="4">
        <v>792713</v>
      </c>
      <c r="F6" s="4">
        <v>555978</v>
      </c>
      <c r="G6" s="4">
        <v>574960</v>
      </c>
      <c r="H6" s="4">
        <v>567954</v>
      </c>
      <c r="I6" s="4">
        <v>831610</v>
      </c>
      <c r="J6" s="4">
        <v>555362</v>
      </c>
      <c r="K6" s="4">
        <v>627168</v>
      </c>
      <c r="L6" s="8">
        <f>K6 *1.03</f>
        <v>645983.04</v>
      </c>
      <c r="M6" s="4">
        <v>831610</v>
      </c>
      <c r="P6" s="10">
        <f t="shared" si="0"/>
        <v>2545146</v>
      </c>
      <c r="Q6" s="10">
        <f t="shared" si="1"/>
        <v>2530502</v>
      </c>
      <c r="R6" s="10">
        <f t="shared" si="2"/>
        <v>2660123.04</v>
      </c>
      <c r="S6" s="8">
        <f t="shared" ref="S6:S16" si="3">R6*1.05</f>
        <v>2793129.1920000003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">
      <c r="A7" t="s">
        <v>10</v>
      </c>
      <c r="B7" s="4">
        <v>525207</v>
      </c>
      <c r="C7" s="4">
        <v>537321</v>
      </c>
      <c r="D7" s="4">
        <v>563887</v>
      </c>
      <c r="E7" s="4">
        <v>647470</v>
      </c>
      <c r="F7" s="4">
        <v>657530</v>
      </c>
      <c r="G7" s="4">
        <v>716846</v>
      </c>
      <c r="H7" s="4">
        <v>662739</v>
      </c>
      <c r="I7" s="4">
        <v>673926</v>
      </c>
      <c r="J7" s="4">
        <v>687275</v>
      </c>
      <c r="K7" s="4">
        <v>657983</v>
      </c>
      <c r="L7" s="8">
        <f>K7 *1.03</f>
        <v>677722.49</v>
      </c>
      <c r="M7" s="4">
        <v>673926</v>
      </c>
      <c r="P7" s="10">
        <f t="shared" si="0"/>
        <v>2273885</v>
      </c>
      <c r="Q7" s="10">
        <f t="shared" si="1"/>
        <v>2711041</v>
      </c>
      <c r="R7" s="10">
        <f t="shared" si="2"/>
        <v>2696906.49</v>
      </c>
      <c r="S7" s="8">
        <f t="shared" si="3"/>
        <v>2831751.8145000003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">
      <c r="A8" t="s">
        <v>11</v>
      </c>
      <c r="B8" s="4">
        <v>297196</v>
      </c>
      <c r="C8" s="4">
        <v>334845</v>
      </c>
      <c r="D8" s="4">
        <v>321790</v>
      </c>
      <c r="E8" s="4">
        <v>397790</v>
      </c>
      <c r="F8" s="4">
        <v>397928</v>
      </c>
      <c r="G8" s="4">
        <v>409297</v>
      </c>
      <c r="H8" s="4">
        <v>373213</v>
      </c>
      <c r="I8" s="4">
        <v>392453</v>
      </c>
      <c r="J8" s="4">
        <v>400924</v>
      </c>
      <c r="K8" s="4">
        <v>401497</v>
      </c>
      <c r="L8" s="8">
        <f>K8 *1.03</f>
        <v>413541.91000000003</v>
      </c>
      <c r="M8" s="4">
        <v>392453</v>
      </c>
      <c r="P8" s="10">
        <f t="shared" si="0"/>
        <v>1351621</v>
      </c>
      <c r="Q8" s="10">
        <f t="shared" si="1"/>
        <v>1572891</v>
      </c>
      <c r="R8" s="10">
        <f t="shared" si="2"/>
        <v>1608415.9100000001</v>
      </c>
      <c r="S8" s="8">
        <f t="shared" si="3"/>
        <v>1688836.7055000002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s="1" customFormat="1" ht="15" x14ac:dyDescent="0.25">
      <c r="A9" s="1" t="s">
        <v>12</v>
      </c>
      <c r="B9" s="3">
        <f xml:space="preserve"> B4 -SUM(B6:B8)</f>
        <v>1959856</v>
      </c>
      <c r="C9" s="3">
        <f xml:space="preserve"> C4 -SUM(C6:C8)</f>
        <v>1847630</v>
      </c>
      <c r="D9" s="3">
        <f xml:space="preserve"> D4 -SUM(D6:D8)</f>
        <v>1755253</v>
      </c>
      <c r="E9" s="3">
        <f xml:space="preserve"> E4 -SUM(E6:E8)</f>
        <v>631800</v>
      </c>
      <c r="F9" s="3">
        <f xml:space="preserve"> F4 -SUM(F6:F8)</f>
        <v>1971626</v>
      </c>
      <c r="G9" s="3">
        <f xml:space="preserve"> G4 -SUM(G6:G8)</f>
        <v>1578283</v>
      </c>
      <c r="H9" s="3">
        <f xml:space="preserve"> H4 -SUM(H6:H8)</f>
        <v>1533018</v>
      </c>
      <c r="I9" s="3">
        <f xml:space="preserve"> I4 -SUM(I6:I8)</f>
        <v>549904</v>
      </c>
      <c r="J9" s="3">
        <f xml:space="preserve"> J4 -SUM(J6:J8)</f>
        <v>1714317</v>
      </c>
      <c r="K9" s="3">
        <f xml:space="preserve"> K4 -SUM(K6:K8)</f>
        <v>1827183</v>
      </c>
      <c r="L9" s="3">
        <f>J9*1.05</f>
        <v>1800032.85</v>
      </c>
      <c r="M9" s="3">
        <f xml:space="preserve"> M4 -SUM(M6:M8)</f>
        <v>647819.7200000002</v>
      </c>
      <c r="P9" s="9">
        <f t="shared" si="0"/>
        <v>6194539</v>
      </c>
      <c r="Q9" s="9">
        <f t="shared" si="1"/>
        <v>5632831</v>
      </c>
      <c r="R9" s="9">
        <f t="shared" si="2"/>
        <v>5989352.5700000003</v>
      </c>
      <c r="S9" s="3">
        <f t="shared" si="3"/>
        <v>6288820.1985000009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ht="15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P10" s="9">
        <f t="shared" si="0"/>
        <v>0</v>
      </c>
      <c r="Q10" s="9">
        <f t="shared" si="1"/>
        <v>0</v>
      </c>
      <c r="R10" s="9">
        <f t="shared" si="2"/>
        <v>0</v>
      </c>
      <c r="S10" s="3">
        <f t="shared" si="3"/>
        <v>0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ht="15" x14ac:dyDescent="0.25">
      <c r="A11" t="s">
        <v>13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P11" s="9">
        <f t="shared" si="0"/>
        <v>0</v>
      </c>
      <c r="Q11" s="9">
        <f t="shared" si="1"/>
        <v>0</v>
      </c>
      <c r="R11" s="9">
        <f t="shared" si="2"/>
        <v>0</v>
      </c>
      <c r="S11" s="3">
        <f t="shared" si="3"/>
        <v>0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">
      <c r="A12" t="s">
        <v>14</v>
      </c>
      <c r="B12" s="4">
        <v>-194440</v>
      </c>
      <c r="C12" s="4">
        <v>-191322</v>
      </c>
      <c r="D12" s="4">
        <v>-190429</v>
      </c>
      <c r="E12" s="4">
        <v>-189429</v>
      </c>
      <c r="F12" s="4">
        <v>-187579</v>
      </c>
      <c r="G12" s="4">
        <v>-175455</v>
      </c>
      <c r="H12" s="4">
        <v>-172575</v>
      </c>
      <c r="I12" s="4">
        <v>-170603</v>
      </c>
      <c r="J12" s="4">
        <v>-174239</v>
      </c>
      <c r="K12" s="4">
        <v>-174812</v>
      </c>
      <c r="L12" s="4">
        <v>-174812</v>
      </c>
      <c r="M12" s="4">
        <v>-170603</v>
      </c>
      <c r="P12" s="10">
        <f t="shared" si="0"/>
        <v>-765620</v>
      </c>
      <c r="Q12" s="10">
        <f t="shared" si="1"/>
        <v>-706212</v>
      </c>
      <c r="R12" s="10">
        <f t="shared" si="2"/>
        <v>-694466</v>
      </c>
      <c r="S12" s="8">
        <f t="shared" si="3"/>
        <v>-729189.3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">
      <c r="A13" t="s">
        <v>15</v>
      </c>
      <c r="B13" s="4">
        <v>269086</v>
      </c>
      <c r="C13" s="4">
        <v>-62519</v>
      </c>
      <c r="D13" s="4">
        <v>96135</v>
      </c>
      <c r="E13" s="4">
        <v>108512</v>
      </c>
      <c r="F13" s="4">
        <v>195645</v>
      </c>
      <c r="G13" s="4">
        <v>220226</v>
      </c>
      <c r="H13" s="4">
        <v>261404</v>
      </c>
      <c r="I13" s="4">
        <v>-339965</v>
      </c>
      <c r="J13" s="4">
        <v>-71204</v>
      </c>
      <c r="K13" s="4">
        <v>26961</v>
      </c>
      <c r="L13" s="4">
        <v>26961</v>
      </c>
      <c r="M13" s="4">
        <v>-339965</v>
      </c>
      <c r="P13" s="10">
        <f t="shared" si="0"/>
        <v>411214</v>
      </c>
      <c r="Q13" s="10">
        <f t="shared" si="1"/>
        <v>337310</v>
      </c>
      <c r="R13" s="10">
        <f t="shared" si="2"/>
        <v>-357247</v>
      </c>
      <c r="S13" s="8">
        <f t="shared" si="3"/>
        <v>-375109.35000000003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">
      <c r="A14" t="s">
        <v>16</v>
      </c>
      <c r="B14" s="4">
        <f xml:space="preserve"> B9  +B13 +B12</f>
        <v>2034502</v>
      </c>
      <c r="C14" s="4">
        <f xml:space="preserve"> C9  +C13 +C12</f>
        <v>1593789</v>
      </c>
      <c r="D14" s="4">
        <f xml:space="preserve"> D9  +D13 +D12</f>
        <v>1660959</v>
      </c>
      <c r="E14" s="4">
        <f xml:space="preserve"> E9  +E13 +E12</f>
        <v>550883</v>
      </c>
      <c r="F14" s="4">
        <f xml:space="preserve"> F9  +F13 +F12</f>
        <v>1979692</v>
      </c>
      <c r="G14" s="4">
        <f xml:space="preserve"> G9  +G13 +G12</f>
        <v>1623054</v>
      </c>
      <c r="H14" s="4">
        <f xml:space="preserve"> H9  +H13 +H12</f>
        <v>1621847</v>
      </c>
      <c r="I14" s="4">
        <f xml:space="preserve"> I9  +I13 +I12</f>
        <v>39336</v>
      </c>
      <c r="J14" s="4">
        <f xml:space="preserve"> J9  +J13 +J12</f>
        <v>1468874</v>
      </c>
      <c r="K14" s="4">
        <f xml:space="preserve"> K9  +K13 +K12</f>
        <v>1679332</v>
      </c>
      <c r="L14" s="4">
        <f xml:space="preserve"> L9  +L13 +L12</f>
        <v>1652181.85</v>
      </c>
      <c r="M14" s="4">
        <f xml:space="preserve"> M9  +M13 +M12</f>
        <v>137251.7200000002</v>
      </c>
      <c r="P14" s="10">
        <f t="shared" si="0"/>
        <v>5840133</v>
      </c>
      <c r="Q14" s="10">
        <f t="shared" si="1"/>
        <v>5263929</v>
      </c>
      <c r="R14" s="10">
        <f t="shared" si="2"/>
        <v>4937639.57</v>
      </c>
      <c r="S14" s="8">
        <f t="shared" si="3"/>
        <v>5184521.5485000005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">
      <c r="A15" t="s">
        <v>17</v>
      </c>
      <c r="B15" s="4">
        <v>-327787</v>
      </c>
      <c r="C15" s="4">
        <v>-240776</v>
      </c>
      <c r="D15" s="4">
        <v>-211888</v>
      </c>
      <c r="E15" s="4">
        <v>56576</v>
      </c>
      <c r="F15" s="4">
        <v>-382245</v>
      </c>
      <c r="G15" s="4">
        <v>-182103</v>
      </c>
      <c r="H15" s="4">
        <v>-223605</v>
      </c>
      <c r="I15" s="4">
        <v>15948</v>
      </c>
      <c r="J15" s="4">
        <v>-163754</v>
      </c>
      <c r="K15" s="4">
        <v>-191722</v>
      </c>
      <c r="L15" s="4">
        <v>-191722</v>
      </c>
      <c r="M15" s="4">
        <v>15948</v>
      </c>
      <c r="P15" s="10">
        <f t="shared" si="0"/>
        <v>-723875</v>
      </c>
      <c r="Q15" s="10">
        <f t="shared" si="1"/>
        <v>-772005</v>
      </c>
      <c r="R15" s="10">
        <f t="shared" si="2"/>
        <v>-531250</v>
      </c>
      <c r="S15" s="8">
        <f t="shared" si="3"/>
        <v>-557812.5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s="1" customFormat="1" ht="15" x14ac:dyDescent="0.25">
      <c r="A16" s="1" t="s">
        <v>18</v>
      </c>
      <c r="B16" s="3">
        <f xml:space="preserve"> B14 +B15</f>
        <v>1706715</v>
      </c>
      <c r="C16" s="3">
        <f xml:space="preserve"> C14 +C15</f>
        <v>1353013</v>
      </c>
      <c r="D16" s="3">
        <f xml:space="preserve"> D14 +D15</f>
        <v>1449071</v>
      </c>
      <c r="E16" s="3">
        <f xml:space="preserve"> E14 +E15</f>
        <v>607459</v>
      </c>
      <c r="F16" s="3">
        <f xml:space="preserve"> F14 +F15</f>
        <v>1597447</v>
      </c>
      <c r="G16" s="3">
        <f xml:space="preserve"> G14 +G15</f>
        <v>1440951</v>
      </c>
      <c r="H16" s="3">
        <f xml:space="preserve"> H14 +H15</f>
        <v>1398242</v>
      </c>
      <c r="I16" s="3">
        <f xml:space="preserve"> I14 +I15</f>
        <v>55284</v>
      </c>
      <c r="J16" s="3">
        <f xml:space="preserve"> J14 +J15</f>
        <v>1305120</v>
      </c>
      <c r="K16" s="3">
        <f xml:space="preserve"> K14 +K15</f>
        <v>1487610</v>
      </c>
      <c r="L16" s="3">
        <f xml:space="preserve"> L14 +L15</f>
        <v>1460459.85</v>
      </c>
      <c r="M16" s="3">
        <f xml:space="preserve"> M14 +M15</f>
        <v>153199.7200000002</v>
      </c>
      <c r="P16" s="9">
        <f t="shared" si="0"/>
        <v>5116258</v>
      </c>
      <c r="Q16" s="9">
        <f t="shared" si="1"/>
        <v>4491924</v>
      </c>
      <c r="R16" s="9">
        <f t="shared" si="2"/>
        <v>4406389.57</v>
      </c>
      <c r="S16" s="3">
        <f>R16*1.15</f>
        <v>5067348.0055</v>
      </c>
      <c r="T16" s="3">
        <f t="shared" ref="T16:AI16" si="4">S16*1.15</f>
        <v>5827450.2063249992</v>
      </c>
      <c r="U16" s="3">
        <f t="shared" si="4"/>
        <v>6701567.737273749</v>
      </c>
      <c r="V16" s="3">
        <f t="shared" si="4"/>
        <v>7706802.8978648111</v>
      </c>
      <c r="W16" s="3">
        <f t="shared" si="4"/>
        <v>8862823.3325445317</v>
      </c>
      <c r="X16" s="3">
        <f t="shared" si="4"/>
        <v>10192246.832426211</v>
      </c>
      <c r="Y16" s="3">
        <f t="shared" si="4"/>
        <v>11721083.857290141</v>
      </c>
      <c r="Z16" s="3">
        <f t="shared" si="4"/>
        <v>13479246.435883662</v>
      </c>
      <c r="AA16" s="3">
        <f t="shared" si="4"/>
        <v>15501133.40126621</v>
      </c>
      <c r="AB16" s="3">
        <f t="shared" si="4"/>
        <v>17826303.411456142</v>
      </c>
      <c r="AC16" s="3">
        <f t="shared" si="4"/>
        <v>20500248.92317456</v>
      </c>
      <c r="AD16" s="3">
        <f t="shared" si="4"/>
        <v>23575286.261650741</v>
      </c>
      <c r="AE16" s="3">
        <f t="shared" si="4"/>
        <v>27111579.200898349</v>
      </c>
      <c r="AF16" s="3">
        <f t="shared" si="4"/>
        <v>31178316.081033099</v>
      </c>
      <c r="AG16" s="3">
        <f t="shared" si="4"/>
        <v>35855063.493188061</v>
      </c>
      <c r="AH16" s="3">
        <f t="shared" si="4"/>
        <v>41233323.017166264</v>
      </c>
      <c r="AI16" s="3">
        <f t="shared" si="4"/>
        <v>47418321.469741203</v>
      </c>
    </row>
    <row r="17" spans="1:35" ht="15" x14ac:dyDescent="0.25">
      <c r="L17" s="4"/>
      <c r="P17" s="9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">
      <c r="A18" t="s">
        <v>31</v>
      </c>
      <c r="B18" s="5">
        <f xml:space="preserve"> B4/B2</f>
        <v>0.4599527144121926</v>
      </c>
      <c r="C18" s="5">
        <f xml:space="preserve"> C4/C2</f>
        <v>0.45271996139354276</v>
      </c>
      <c r="D18" s="5">
        <f xml:space="preserve"> D4/D2</f>
        <v>0.43788233448480496</v>
      </c>
      <c r="E18" s="5">
        <f xml:space="preserve"> E4/E2</f>
        <v>0.32036081391059268</v>
      </c>
      <c r="F18" s="5">
        <f xml:space="preserve"> F4/F2</f>
        <v>0.45541028350229484</v>
      </c>
      <c r="G18" s="5">
        <f xml:space="preserve"> G4/G2</f>
        <v>0.41145896917005609</v>
      </c>
      <c r="H18" s="5">
        <f xml:space="preserve"> H4/H2</f>
        <v>0.39579695591078468</v>
      </c>
      <c r="I18" s="5">
        <f xml:space="preserve"> I4/I2</f>
        <v>0.3117519711087024</v>
      </c>
      <c r="J18" s="5">
        <f xml:space="preserve"> J4/J2</f>
        <v>0.41142887529417072</v>
      </c>
      <c r="K18" s="5">
        <f xml:space="preserve"> K4/K2</f>
        <v>0.42918062985591954</v>
      </c>
      <c r="L18" s="5">
        <f xml:space="preserve"> L4/L2</f>
        <v>0.42918062985591959</v>
      </c>
      <c r="M18" s="5">
        <f xml:space="preserve"> M4/M2</f>
        <v>0.3117519711087024</v>
      </c>
      <c r="P18" s="5">
        <f xml:space="preserve"> P4/P2</f>
        <v>0.4163662018365355</v>
      </c>
      <c r="Q18" s="5">
        <f xml:space="preserve"> Q4/Q2</f>
        <v>0.39370705238403253</v>
      </c>
      <c r="R18" s="5">
        <f xml:space="preserve"> R4/R2</f>
        <v>0.39567862636076612</v>
      </c>
      <c r="S18" s="5">
        <f xml:space="preserve"> S4/S2</f>
        <v>0.39567862636076617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">
      <c r="A19" t="s">
        <v>32</v>
      </c>
      <c r="B19" s="5">
        <f xml:space="preserve"> B9/B2</f>
        <v>0.27359749343945972</v>
      </c>
      <c r="C19" s="5">
        <f xml:space="preserve"> C9/C2</f>
        <v>0.25165978209362666</v>
      </c>
      <c r="D19" s="5">
        <f xml:space="preserve"> D9/D2</f>
        <v>0.23455077706629829</v>
      </c>
      <c r="E19" s="5">
        <f xml:space="preserve"> E9/E2</f>
        <v>8.1952455642163261E-2</v>
      </c>
      <c r="F19" s="5">
        <f xml:space="preserve"> F9/F2</f>
        <v>0.25059537223204498</v>
      </c>
      <c r="G19" s="5">
        <f xml:space="preserve"> G9/G2</f>
        <v>0.19802447660587183</v>
      </c>
      <c r="H19" s="5">
        <f xml:space="preserve"> H9/H2</f>
        <v>0.19342638130743342</v>
      </c>
      <c r="I19" s="5">
        <f xml:space="preserve"> I9/I2</f>
        <v>7.0033149292293359E-2</v>
      </c>
      <c r="J19" s="5">
        <f xml:space="preserve"> J9/J2</f>
        <v>0.21004917844176496</v>
      </c>
      <c r="K19" s="5">
        <f xml:space="preserve"> K9/K2</f>
        <v>0.22317281360487418</v>
      </c>
      <c r="L19" s="5">
        <f xml:space="preserve"> L9/L2</f>
        <v>0.21345309140800667</v>
      </c>
      <c r="M19" s="5">
        <f xml:space="preserve"> M9/M2</f>
        <v>7.9330027054462973E-2</v>
      </c>
      <c r="P19" s="5">
        <f xml:space="preserve"> P9/P2</f>
        <v>0.20858526775350988</v>
      </c>
      <c r="Q19" s="5">
        <f xml:space="preserve"> Q9/Q2</f>
        <v>0.17816647187855345</v>
      </c>
      <c r="R19" s="5">
        <f xml:space="preserve"> R9/R2</f>
        <v>0.18178275385762052</v>
      </c>
      <c r="S19" s="5">
        <f xml:space="preserve"> S9/S2</f>
        <v>0.18178275385762052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">
      <c r="A20" t="s">
        <v>33</v>
      </c>
      <c r="B20" s="5">
        <f xml:space="preserve"> B16/B2</f>
        <v>0.23825880371595032</v>
      </c>
      <c r="C20" s="5">
        <f xml:space="preserve"> C16/C2</f>
        <v>0.18428958002946699</v>
      </c>
      <c r="D20" s="5">
        <f xml:space="preserve"> D16/D2</f>
        <v>0.19363631856731645</v>
      </c>
      <c r="E20" s="5">
        <f xml:space="preserve"> E16/E2</f>
        <v>7.8795119898595833E-2</v>
      </c>
      <c r="F20" s="5">
        <f xml:space="preserve"> F16/F2</f>
        <v>0.20303689725432897</v>
      </c>
      <c r="G20" s="5">
        <f xml:space="preserve"> G16/G2</f>
        <v>0.18079366475448802</v>
      </c>
      <c r="H20" s="5">
        <f xml:space="preserve"> H16/H2</f>
        <v>0.17642120983058798</v>
      </c>
      <c r="I20" s="5">
        <f xml:space="preserve"> I16/I2</f>
        <v>7.0407064241670304E-3</v>
      </c>
      <c r="J20" s="5">
        <f xml:space="preserve"> J16/J2</f>
        <v>0.15991172214235538</v>
      </c>
      <c r="K20" s="5">
        <f xml:space="preserve"> K16/K2</f>
        <v>0.18169724064132978</v>
      </c>
      <c r="L20" s="5">
        <f xml:space="preserve"> L16/L2</f>
        <v>0.17318554484145871</v>
      </c>
      <c r="M20" s="5">
        <f xml:space="preserve"> M16/M2</f>
        <v>1.8760370450495337E-2</v>
      </c>
      <c r="P20" s="5">
        <f xml:space="preserve"> P16/P2</f>
        <v>0.17227691113512031</v>
      </c>
      <c r="Q20" s="5">
        <f xml:space="preserve"> Q16/Q2</f>
        <v>0.14207957792921522</v>
      </c>
      <c r="R20" s="5">
        <f xml:space="preserve"> R16/R2</f>
        <v>0.13373826657262494</v>
      </c>
      <c r="S20" s="5">
        <f xml:space="preserve"> S16/S2</f>
        <v>0.14647524434144638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ht="15" x14ac:dyDescent="0.25">
      <c r="P21" s="9"/>
    </row>
    <row r="22" spans="1:35" ht="15" x14ac:dyDescent="0.25">
      <c r="A22" t="s">
        <v>34</v>
      </c>
      <c r="B22" s="5" t="e">
        <f xml:space="preserve"> B2/#REF! - 1</f>
        <v>#REF!</v>
      </c>
      <c r="C22" s="5" t="e">
        <f xml:space="preserve"> C2/#REF! - 1</f>
        <v>#REF!</v>
      </c>
      <c r="D22" s="5" t="e">
        <f xml:space="preserve"> D2/#REF! - 1</f>
        <v>#REF!</v>
      </c>
      <c r="E22" s="5" t="e">
        <f xml:space="preserve"> E2/A2 - 1</f>
        <v>#VALUE!</v>
      </c>
      <c r="F22" s="5">
        <f xml:space="preserve"> F2/B2 - 1</f>
        <v>9.834667963651289E-2</v>
      </c>
      <c r="G22" s="5">
        <f xml:space="preserve"> G2/C2 - 1</f>
        <v>8.5587453827595139E-2</v>
      </c>
      <c r="H22" s="5">
        <f xml:space="preserve"> H2/D2 - 1</f>
        <v>5.9079835589573637E-2</v>
      </c>
      <c r="I22" s="5">
        <f xml:space="preserve"> I2/E2 - 1</f>
        <v>1.8510644479922345E-2</v>
      </c>
      <c r="J22" s="5">
        <f xml:space="preserve"> J2/F2 - 1</f>
        <v>3.7334100005757653E-2</v>
      </c>
      <c r="K22" s="5">
        <f xml:space="preserve"> K2/G2 - 1</f>
        <v>2.7246694882813172E-2</v>
      </c>
      <c r="L22" s="5">
        <f xml:space="preserve"> L2/H2 - 1</f>
        <v>6.4011776285648914E-2</v>
      </c>
      <c r="M22" s="5">
        <f xml:space="preserve"> M2/I2 - 1</f>
        <v>4.0000000000000036E-2</v>
      </c>
      <c r="P22" s="9" t="e">
        <f t="shared" si="0"/>
        <v>#REF!</v>
      </c>
    </row>
    <row r="23" spans="1:35" ht="15" x14ac:dyDescent="0.25">
      <c r="A23" t="s">
        <v>35</v>
      </c>
      <c r="B23" s="5" t="e">
        <f xml:space="preserve"> B16/#REF! - 1</f>
        <v>#REF!</v>
      </c>
      <c r="C23" s="5" t="e">
        <f xml:space="preserve"> C16/#REF! - 1</f>
        <v>#REF!</v>
      </c>
      <c r="D23" s="5" t="e">
        <f xml:space="preserve"> D16/#REF! - 1</f>
        <v>#REF!</v>
      </c>
      <c r="E23" s="5" t="e">
        <f xml:space="preserve"> E16/A16 - 1</f>
        <v>#VALUE!</v>
      </c>
      <c r="F23" s="5">
        <f xml:space="preserve"> F16/B16 - 1</f>
        <v>-6.4022405615466016E-2</v>
      </c>
      <c r="G23" s="5">
        <f xml:space="preserve"> G16/C16 - 1</f>
        <v>6.4994201829546405E-2</v>
      </c>
      <c r="H23" s="5">
        <f xml:space="preserve"> H16/D16 - 1</f>
        <v>-3.5076956201594012E-2</v>
      </c>
      <c r="I23" s="5">
        <f xml:space="preserve"> I16/E16 - 1</f>
        <v>-0.90899138871923868</v>
      </c>
      <c r="J23" s="5">
        <f xml:space="preserve"> J16/F16 - 1</f>
        <v>-0.18299636858061641</v>
      </c>
      <c r="K23" s="5">
        <f xml:space="preserve"> K16/G16 - 1</f>
        <v>3.2380698580312561E-2</v>
      </c>
      <c r="L23" s="5">
        <f xml:space="preserve"> L16/H16 - 1</f>
        <v>4.4497197194763194E-2</v>
      </c>
      <c r="M23" s="5">
        <f xml:space="preserve"> M16/I16 - 1</f>
        <v>1.7711402937558822</v>
      </c>
      <c r="P23" s="9" t="e">
        <f t="shared" si="0"/>
        <v>#REF!</v>
      </c>
    </row>
    <row r="25" spans="1:35" ht="15" x14ac:dyDescent="0.25">
      <c r="A25" s="1" t="s">
        <v>36</v>
      </c>
      <c r="B25" s="7">
        <v>45107</v>
      </c>
      <c r="P25" t="s">
        <v>93</v>
      </c>
      <c r="Q25" s="5">
        <v>0.04</v>
      </c>
    </row>
    <row r="26" spans="1:35" ht="15" x14ac:dyDescent="0.25">
      <c r="A26" s="1" t="s">
        <v>37</v>
      </c>
      <c r="P26" t="s">
        <v>94</v>
      </c>
      <c r="Q26" s="11">
        <f>NPV(Q25,R16:AI16)</f>
        <v>204651635.43556216</v>
      </c>
    </row>
    <row r="27" spans="1:35" x14ac:dyDescent="0.2">
      <c r="A27" t="s">
        <v>38</v>
      </c>
      <c r="P27" t="s">
        <v>3</v>
      </c>
      <c r="Q27" s="4">
        <f>7662788+914201</f>
        <v>8576989</v>
      </c>
    </row>
    <row r="28" spans="1:35" x14ac:dyDescent="0.2">
      <c r="A28" t="s">
        <v>3</v>
      </c>
      <c r="B28" s="4">
        <v>7662788</v>
      </c>
      <c r="P28" t="s">
        <v>4</v>
      </c>
      <c r="Q28" s="4">
        <v>14070151</v>
      </c>
    </row>
    <row r="29" spans="1:35" x14ac:dyDescent="0.2">
      <c r="A29" t="s">
        <v>39</v>
      </c>
      <c r="B29" s="4">
        <v>914201</v>
      </c>
      <c r="P29" t="s">
        <v>95</v>
      </c>
      <c r="Q29" s="11">
        <f>Q26 -Q27 +Q28</f>
        <v>210144797.43556216</v>
      </c>
    </row>
    <row r="30" spans="1:35" x14ac:dyDescent="0.2">
      <c r="A30" t="s">
        <v>40</v>
      </c>
      <c r="B30" s="4">
        <v>2929347</v>
      </c>
    </row>
    <row r="31" spans="1:35" x14ac:dyDescent="0.2">
      <c r="A31" t="s">
        <v>41</v>
      </c>
      <c r="B31" s="8">
        <f>SUM(B28:B30)</f>
        <v>11506336</v>
      </c>
    </row>
    <row r="32" spans="1:35" x14ac:dyDescent="0.2">
      <c r="A32" t="s">
        <v>42</v>
      </c>
      <c r="B32" s="4">
        <v>32520774</v>
      </c>
    </row>
    <row r="33" spans="1:2" x14ac:dyDescent="0.2">
      <c r="A33" t="s">
        <v>43</v>
      </c>
      <c r="B33" s="4">
        <v>1471968</v>
      </c>
    </row>
    <row r="34" spans="1:2" x14ac:dyDescent="0.2">
      <c r="A34" t="s">
        <v>40</v>
      </c>
      <c r="B34" s="4">
        <v>5318395</v>
      </c>
    </row>
    <row r="35" spans="1:2" ht="15" x14ac:dyDescent="0.25">
      <c r="A35" t="s">
        <v>44</v>
      </c>
      <c r="B35" s="3">
        <f xml:space="preserve"> SUM(B31:B34)</f>
        <v>50817473</v>
      </c>
    </row>
    <row r="36" spans="1:2" x14ac:dyDescent="0.2">
      <c r="B36" s="4"/>
    </row>
    <row r="37" spans="1:2" ht="15" x14ac:dyDescent="0.25">
      <c r="A37" s="1" t="s">
        <v>45</v>
      </c>
      <c r="B37" s="4"/>
    </row>
    <row r="38" spans="1:2" x14ac:dyDescent="0.2">
      <c r="A38" t="s">
        <v>46</v>
      </c>
    </row>
    <row r="39" spans="1:2" x14ac:dyDescent="0.2">
      <c r="A39" t="s">
        <v>47</v>
      </c>
      <c r="B39" s="4">
        <v>4440412</v>
      </c>
    </row>
    <row r="40" spans="1:2" x14ac:dyDescent="0.2">
      <c r="A40" t="s">
        <v>48</v>
      </c>
      <c r="B40" s="4">
        <v>615374</v>
      </c>
    </row>
    <row r="41" spans="1:2" x14ac:dyDescent="0.2">
      <c r="A41" t="s">
        <v>49</v>
      </c>
      <c r="B41" s="4">
        <v>1908714</v>
      </c>
    </row>
    <row r="42" spans="1:2" x14ac:dyDescent="0.2">
      <c r="A42" t="s">
        <v>50</v>
      </c>
      <c r="B42" s="4">
        <v>1311918</v>
      </c>
    </row>
    <row r="43" spans="1:2" x14ac:dyDescent="0.2">
      <c r="A43" t="s">
        <v>51</v>
      </c>
      <c r="B43" s="4">
        <v>399387</v>
      </c>
    </row>
    <row r="44" spans="1:2" x14ac:dyDescent="0.2">
      <c r="A44" t="s">
        <v>52</v>
      </c>
      <c r="B44" s="4">
        <f xml:space="preserve"> SUM(B39:B43)</f>
        <v>8675805</v>
      </c>
    </row>
    <row r="45" spans="1:2" x14ac:dyDescent="0.2">
      <c r="B45" s="4"/>
    </row>
    <row r="46" spans="1:2" x14ac:dyDescent="0.2">
      <c r="A46" t="s">
        <v>53</v>
      </c>
      <c r="B46" s="4">
        <v>2849387</v>
      </c>
    </row>
    <row r="47" spans="1:2" x14ac:dyDescent="0.2">
      <c r="A47" t="s">
        <v>54</v>
      </c>
      <c r="B47" s="4">
        <v>14070151</v>
      </c>
    </row>
    <row r="48" spans="1:2" x14ac:dyDescent="0.2">
      <c r="A48" t="s">
        <v>55</v>
      </c>
      <c r="B48" s="4">
        <v>2389915</v>
      </c>
    </row>
    <row r="49" spans="1:4" ht="15" x14ac:dyDescent="0.25">
      <c r="A49" s="1" t="s">
        <v>56</v>
      </c>
      <c r="B49" s="3">
        <f>SUM(B44:B48)</f>
        <v>27985258</v>
      </c>
    </row>
    <row r="50" spans="1:4" x14ac:dyDescent="0.2">
      <c r="B50" s="4"/>
    </row>
    <row r="51" spans="1:4" ht="15" x14ac:dyDescent="0.25">
      <c r="A51" t="s">
        <v>57</v>
      </c>
      <c r="B51" s="9">
        <f xml:space="preserve"> B35 - B49</f>
        <v>22832215</v>
      </c>
    </row>
    <row r="53" spans="1:4" ht="15" x14ac:dyDescent="0.25">
      <c r="A53" s="1" t="s">
        <v>58</v>
      </c>
      <c r="B53">
        <v>2021</v>
      </c>
      <c r="C53">
        <v>2022</v>
      </c>
      <c r="D53">
        <v>2023</v>
      </c>
    </row>
    <row r="54" spans="1:4" x14ac:dyDescent="0.2">
      <c r="A54" t="s">
        <v>59</v>
      </c>
    </row>
    <row r="55" spans="1:4" x14ac:dyDescent="0.2">
      <c r="A55" t="s">
        <v>18</v>
      </c>
      <c r="B55" s="4">
        <v>5116228</v>
      </c>
      <c r="C55" s="4">
        <v>4491924</v>
      </c>
    </row>
    <row r="56" spans="1:4" x14ac:dyDescent="0.2">
      <c r="A56" t="s">
        <v>60</v>
      </c>
      <c r="B56" s="4"/>
      <c r="C56" s="4"/>
    </row>
    <row r="57" spans="1:4" x14ac:dyDescent="0.2">
      <c r="A57" t="s">
        <v>61</v>
      </c>
      <c r="B57" s="4">
        <v>-17702202</v>
      </c>
      <c r="C57" s="4">
        <v>-16839038</v>
      </c>
    </row>
    <row r="58" spans="1:4" x14ac:dyDescent="0.2">
      <c r="A58" t="s">
        <v>62</v>
      </c>
      <c r="B58" s="4">
        <v>232898</v>
      </c>
      <c r="C58" s="4">
        <v>179310</v>
      </c>
    </row>
    <row r="59" spans="1:4" x14ac:dyDescent="0.2">
      <c r="A59" t="s">
        <v>63</v>
      </c>
      <c r="B59" s="4">
        <v>12230367</v>
      </c>
      <c r="C59" s="4">
        <v>14026132</v>
      </c>
    </row>
    <row r="60" spans="1:4" x14ac:dyDescent="0.2">
      <c r="A60" t="s">
        <v>64</v>
      </c>
      <c r="B60" s="4">
        <v>208412</v>
      </c>
      <c r="C60" s="4">
        <v>336682</v>
      </c>
    </row>
    <row r="61" spans="1:4" x14ac:dyDescent="0.2">
      <c r="A61" t="s">
        <v>65</v>
      </c>
      <c r="B61" s="4">
        <v>403220</v>
      </c>
      <c r="C61" s="4">
        <v>575452</v>
      </c>
    </row>
    <row r="62" spans="1:4" x14ac:dyDescent="0.2">
      <c r="A62" t="s">
        <v>66</v>
      </c>
      <c r="B62" s="4">
        <v>-430661</v>
      </c>
      <c r="C62" s="4">
        <v>-353111</v>
      </c>
    </row>
    <row r="63" spans="1:4" x14ac:dyDescent="0.2">
      <c r="A63" t="s">
        <v>67</v>
      </c>
      <c r="B63" s="4">
        <v>376777</v>
      </c>
      <c r="C63" s="4">
        <v>533543</v>
      </c>
    </row>
    <row r="64" spans="1:4" x14ac:dyDescent="0.2">
      <c r="A64" t="s">
        <v>68</v>
      </c>
      <c r="B64" s="4">
        <v>199548</v>
      </c>
      <c r="C64" s="4">
        <v>-166550</v>
      </c>
    </row>
    <row r="65" spans="1:3" x14ac:dyDescent="0.2">
      <c r="A65" t="s">
        <v>69</v>
      </c>
      <c r="B65" s="4"/>
      <c r="C65" s="4"/>
    </row>
    <row r="66" spans="1:3" x14ac:dyDescent="0.2">
      <c r="A66" t="s">
        <v>40</v>
      </c>
      <c r="B66" s="4">
        <v>-369681</v>
      </c>
      <c r="C66" s="4">
        <v>-353834</v>
      </c>
    </row>
    <row r="67" spans="1:3" x14ac:dyDescent="0.2">
      <c r="A67" t="s">
        <v>70</v>
      </c>
      <c r="B67" s="4">
        <v>145115</v>
      </c>
      <c r="C67" s="4">
        <v>-158543</v>
      </c>
    </row>
    <row r="68" spans="1:3" x14ac:dyDescent="0.2">
      <c r="A68" t="s">
        <v>71</v>
      </c>
      <c r="B68" s="4">
        <v>180338</v>
      </c>
      <c r="C68" s="4">
        <v>-55513</v>
      </c>
    </row>
    <row r="69" spans="1:3" x14ac:dyDescent="0.2">
      <c r="A69" t="s">
        <v>50</v>
      </c>
      <c r="B69" s="4">
        <v>91350</v>
      </c>
      <c r="C69" s="4">
        <v>27356</v>
      </c>
    </row>
    <row r="70" spans="1:3" x14ac:dyDescent="0.2">
      <c r="A70" t="s">
        <v>72</v>
      </c>
      <c r="B70" s="4">
        <v>-289099</v>
      </c>
      <c r="C70" s="4">
        <v>-217553</v>
      </c>
    </row>
    <row r="71" spans="1:3" ht="15" x14ac:dyDescent="0.25">
      <c r="A71" s="1" t="s">
        <v>73</v>
      </c>
      <c r="B71" s="3">
        <f xml:space="preserve"> SUM(B55:B70)</f>
        <v>392610</v>
      </c>
      <c r="C71" s="3">
        <f xml:space="preserve"> SUM(C55:C70)</f>
        <v>2026257</v>
      </c>
    </row>
    <row r="72" spans="1:3" x14ac:dyDescent="0.2">
      <c r="B72" s="4"/>
      <c r="C72" s="4"/>
    </row>
    <row r="73" spans="1:3" ht="15" x14ac:dyDescent="0.25">
      <c r="A73" s="1" t="s">
        <v>74</v>
      </c>
      <c r="B73" s="4"/>
      <c r="C73" s="4"/>
    </row>
    <row r="74" spans="1:3" x14ac:dyDescent="0.2">
      <c r="A74" t="s">
        <v>75</v>
      </c>
      <c r="B74" s="4">
        <v>-524585</v>
      </c>
      <c r="C74" s="4">
        <v>-407729</v>
      </c>
    </row>
    <row r="75" spans="1:3" x14ac:dyDescent="0.2">
      <c r="A75" t="s">
        <v>76</v>
      </c>
      <c r="B75" s="4">
        <v>-26919</v>
      </c>
      <c r="C75" s="4">
        <v>0</v>
      </c>
    </row>
    <row r="76" spans="1:3" x14ac:dyDescent="0.2">
      <c r="A76" t="s">
        <v>77</v>
      </c>
      <c r="B76" s="4">
        <v>788349</v>
      </c>
      <c r="C76" s="4">
        <v>-757387</v>
      </c>
    </row>
    <row r="77" spans="1:3" x14ac:dyDescent="0.2">
      <c r="A77" t="s">
        <v>78</v>
      </c>
      <c r="B77" s="4">
        <v>0</v>
      </c>
      <c r="C77" s="4">
        <v>-911276</v>
      </c>
    </row>
    <row r="78" spans="1:3" ht="15" x14ac:dyDescent="0.25">
      <c r="A78" s="1" t="s">
        <v>86</v>
      </c>
      <c r="B78" s="4">
        <f xml:space="preserve"> SUM(B74:B77)</f>
        <v>236845</v>
      </c>
      <c r="C78" s="3">
        <f xml:space="preserve"> SUM(C74:C77)</f>
        <v>-2076392</v>
      </c>
    </row>
    <row r="79" spans="1:3" x14ac:dyDescent="0.2">
      <c r="B79" s="4"/>
      <c r="C79" s="4"/>
    </row>
    <row r="80" spans="1:3" ht="15" x14ac:dyDescent="0.25">
      <c r="A80" s="1" t="s">
        <v>91</v>
      </c>
      <c r="B80" s="4"/>
      <c r="C80" s="4"/>
    </row>
    <row r="81" spans="1:3" x14ac:dyDescent="0.2">
      <c r="A81" t="s">
        <v>79</v>
      </c>
      <c r="B81" s="4">
        <v>0</v>
      </c>
      <c r="C81" s="4">
        <v>0</v>
      </c>
    </row>
    <row r="82" spans="1:3" x14ac:dyDescent="0.2">
      <c r="A82" t="s">
        <v>80</v>
      </c>
      <c r="B82" s="4">
        <v>0</v>
      </c>
      <c r="C82" s="4">
        <v>0</v>
      </c>
    </row>
    <row r="83" spans="1:3" x14ac:dyDescent="0.2">
      <c r="A83" t="s">
        <v>81</v>
      </c>
      <c r="B83" s="4">
        <v>-500000</v>
      </c>
      <c r="C83" s="4">
        <v>-700000</v>
      </c>
    </row>
    <row r="84" spans="1:3" x14ac:dyDescent="0.2">
      <c r="A84" t="s">
        <v>82</v>
      </c>
      <c r="B84" s="4">
        <v>174414</v>
      </c>
      <c r="C84" s="4">
        <v>35746</v>
      </c>
    </row>
    <row r="85" spans="1:3" x14ac:dyDescent="0.2">
      <c r="A85" t="s">
        <v>83</v>
      </c>
      <c r="B85" s="4">
        <v>-600022</v>
      </c>
      <c r="C85" s="4">
        <v>0</v>
      </c>
    </row>
    <row r="86" spans="1:3" x14ac:dyDescent="0.2">
      <c r="A86" t="s">
        <v>84</v>
      </c>
      <c r="B86" s="4">
        <v>-224168</v>
      </c>
      <c r="C86" s="4">
        <v>0</v>
      </c>
    </row>
    <row r="87" spans="1:3" ht="15" x14ac:dyDescent="0.25">
      <c r="A87" s="1" t="s">
        <v>85</v>
      </c>
      <c r="B87" s="4">
        <f xml:space="preserve"> SUM(B81:B86)</f>
        <v>-1149776</v>
      </c>
      <c r="C87" s="4">
        <f xml:space="preserve"> SUM(C81:C86)</f>
        <v>-664254</v>
      </c>
    </row>
    <row r="88" spans="1:3" x14ac:dyDescent="0.2">
      <c r="A88" t="s">
        <v>87</v>
      </c>
      <c r="B88" s="4">
        <v>-86740</v>
      </c>
      <c r="C88" s="4">
        <v>-170140</v>
      </c>
    </row>
    <row r="89" spans="1:3" x14ac:dyDescent="0.2">
      <c r="A89" t="s">
        <v>88</v>
      </c>
      <c r="B89" s="4">
        <v>-2183759</v>
      </c>
      <c r="C89" s="4">
        <v>-884529</v>
      </c>
    </row>
    <row r="90" spans="1:3" x14ac:dyDescent="0.2">
      <c r="A90" t="s">
        <v>89</v>
      </c>
      <c r="B90" s="4">
        <v>8238870</v>
      </c>
      <c r="C90" s="4">
        <v>6055111</v>
      </c>
    </row>
    <row r="91" spans="1:3" ht="15" x14ac:dyDescent="0.25">
      <c r="A91" s="1" t="s">
        <v>90</v>
      </c>
      <c r="B91" s="4">
        <v>6055111</v>
      </c>
      <c r="C91" s="4">
        <f xml:space="preserve"> C90 + C87 +C78 + C71</f>
        <v>5340722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68DF-ED91-475E-8F8F-CBABC81661BF}">
  <dimension ref="B2:C7"/>
  <sheetViews>
    <sheetView workbookViewId="0">
      <selection activeCell="L10" sqref="L10"/>
    </sheetView>
  </sheetViews>
  <sheetFormatPr defaultRowHeight="14.25" x14ac:dyDescent="0.2"/>
  <cols>
    <col min="3" max="3" width="18.375" bestFit="1" customWidth="1"/>
  </cols>
  <sheetData>
    <row r="2" spans="2:3" x14ac:dyDescent="0.2">
      <c r="B2" t="s">
        <v>0</v>
      </c>
      <c r="C2">
        <v>422.9</v>
      </c>
    </row>
    <row r="3" spans="2:3" x14ac:dyDescent="0.2">
      <c r="B3" t="s">
        <v>1</v>
      </c>
      <c r="C3" s="4">
        <v>443146751</v>
      </c>
    </row>
    <row r="4" spans="2:3" x14ac:dyDescent="0.2">
      <c r="B4" t="s">
        <v>2</v>
      </c>
      <c r="C4" s="6">
        <f>C3*C2</f>
        <v>187406760997.89999</v>
      </c>
    </row>
    <row r="5" spans="2:3" x14ac:dyDescent="0.2">
      <c r="B5" t="s">
        <v>3</v>
      </c>
      <c r="C5" s="4">
        <f>7662788+914201</f>
        <v>8576989</v>
      </c>
    </row>
    <row r="6" spans="2:3" x14ac:dyDescent="0.2">
      <c r="B6" t="s">
        <v>4</v>
      </c>
      <c r="C6" s="4">
        <v>14070151</v>
      </c>
    </row>
    <row r="7" spans="2:3" x14ac:dyDescent="0.2">
      <c r="B7" t="s">
        <v>5</v>
      </c>
      <c r="C7" s="6">
        <f xml:space="preserve"> C4</f>
        <v>187406760997.89999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Big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2023-08-16T13:14:59Z</dcterms:created>
  <dcterms:modified xsi:type="dcterms:W3CDTF">2023-08-16T14:22:45Z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2023-08-16T13:15:03Z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26d9f01e-af58-499a-aecf-539bbe9fe6f9</vt:lpwstr>
  </property>
  <property fmtid="{D5CDD505-2E9C-101B-9397-08002B2CF9AE}" pid="7" name="MSIP_Label_defa4170-0d19-0005-0004-bc88714345d2_ActionId">
    <vt:lpwstr>450feda4-b426-458c-9226-2fe7cb2f83f3</vt:lpwstr>
  </property>
  <property fmtid="{D5CDD505-2E9C-101B-9397-08002B2CF9AE}" pid="8" name="MSIP_Label_defa4170-0d19-0005-0004-bc88714345d2_ContentBits">
    <vt:lpwstr>0</vt:lpwstr>
  </property>
</Properties>
</file>