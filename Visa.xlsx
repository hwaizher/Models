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 Financial Models\Models\"/>
    </mc:Choice>
  </mc:AlternateContent>
  <xr:revisionPtr revIDLastSave="0" documentId="13_ncr:1_{59407837-3717-44E4-A208-0D8786695D4C}" xr6:coauthVersionLast="47" xr6:coauthVersionMax="47" xr10:uidLastSave="{00000000-0000-0000-0000-000000000000}"/>
  <bookViews>
    <workbookView xWindow="14400" yWindow="0" windowWidth="14400" windowHeight="15600" activeTab="1" xr2:uid="{60472900-A3C3-4A5B-9BFF-D960E46989EA}"/>
  </bookViews>
  <sheets>
    <sheet name="Financials" sheetId="1" r:id="rId1"/>
    <sheet name="Cap Structure" sheetId="2" r:id="rId2"/>
    <sheet name="Segmental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3" l="1"/>
  <c r="C38" i="3" s="1"/>
  <c r="C8" i="2"/>
  <c r="C5" i="2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AH21" i="1"/>
  <c r="AF21" i="1"/>
  <c r="AG21" i="1" s="1"/>
  <c r="AD21" i="1"/>
  <c r="AE21" i="1" s="1"/>
  <c r="AB21" i="1"/>
  <c r="AC21" i="1" s="1"/>
  <c r="Z21" i="1"/>
  <c r="AA21" i="1" s="1"/>
  <c r="X21" i="1"/>
  <c r="Y21" i="1" s="1"/>
  <c r="V21" i="1"/>
  <c r="W21" i="1" s="1"/>
  <c r="S21" i="1"/>
  <c r="T21" i="1" s="1"/>
  <c r="U21" i="1" s="1"/>
  <c r="R21" i="1"/>
  <c r="T33" i="1"/>
  <c r="Q27" i="1"/>
  <c r="Q26" i="1"/>
  <c r="Q24" i="1"/>
  <c r="Q23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2" i="1"/>
  <c r="P27" i="1"/>
  <c r="P26" i="1"/>
  <c r="P24" i="1"/>
  <c r="P23" i="1"/>
  <c r="P21" i="1"/>
  <c r="P20" i="1"/>
  <c r="P19" i="1"/>
  <c r="P18" i="1"/>
  <c r="P17" i="1"/>
  <c r="P16" i="1"/>
  <c r="P13" i="1"/>
  <c r="P12" i="1"/>
  <c r="P11" i="1"/>
  <c r="P10" i="1"/>
  <c r="P9" i="1"/>
  <c r="P8" i="1"/>
  <c r="P7" i="1"/>
  <c r="P6" i="1"/>
  <c r="P5" i="1"/>
  <c r="P2" i="1"/>
  <c r="O24" i="1"/>
  <c r="O23" i="1"/>
  <c r="O21" i="1"/>
  <c r="O20" i="1"/>
  <c r="O19" i="1"/>
  <c r="O18" i="1"/>
  <c r="O17" i="1"/>
  <c r="O16" i="1"/>
  <c r="O13" i="1"/>
  <c r="O12" i="1"/>
  <c r="O11" i="1"/>
  <c r="O10" i="1"/>
  <c r="O9" i="1"/>
  <c r="O8" i="1"/>
  <c r="O7" i="1"/>
  <c r="O6" i="1"/>
  <c r="O5" i="1"/>
  <c r="O2" i="1"/>
  <c r="M26" i="1"/>
  <c r="M18" i="1"/>
  <c r="M12" i="1"/>
  <c r="M13" i="1" s="1"/>
  <c r="M2" i="1"/>
  <c r="B123" i="1"/>
  <c r="B113" i="1"/>
  <c r="B102" i="1"/>
  <c r="C6" i="2"/>
  <c r="B63" i="1"/>
  <c r="B58" i="1"/>
  <c r="B47" i="1"/>
  <c r="B39" i="1"/>
  <c r="B26" i="1"/>
  <c r="B18" i="1"/>
  <c r="B13" i="1"/>
  <c r="B23" i="1" s="1"/>
  <c r="B12" i="1"/>
  <c r="C26" i="1"/>
  <c r="C18" i="1"/>
  <c r="C12" i="1"/>
  <c r="C13" i="1" s="1"/>
  <c r="C19" i="1" s="1"/>
  <c r="C21" i="1" s="1"/>
  <c r="D26" i="1"/>
  <c r="D18" i="1"/>
  <c r="D13" i="1"/>
  <c r="D19" i="1" s="1"/>
  <c r="D21" i="1" s="1"/>
  <c r="D12" i="1"/>
  <c r="I26" i="1"/>
  <c r="I18" i="1"/>
  <c r="I12" i="1"/>
  <c r="I13" i="1" s="1"/>
  <c r="E26" i="1"/>
  <c r="E18" i="1"/>
  <c r="E12" i="1"/>
  <c r="E13" i="1" s="1"/>
  <c r="E23" i="1" s="1"/>
  <c r="F26" i="1"/>
  <c r="F18" i="1"/>
  <c r="F12" i="1"/>
  <c r="F13" i="1" s="1"/>
  <c r="F23" i="1" s="1"/>
  <c r="J26" i="1"/>
  <c r="J18" i="1"/>
  <c r="J12" i="1"/>
  <c r="J13" i="1" s="1"/>
  <c r="G26" i="1"/>
  <c r="G18" i="1"/>
  <c r="G12" i="1"/>
  <c r="G13" i="1" s="1"/>
  <c r="G19" i="1" s="1"/>
  <c r="G21" i="1" s="1"/>
  <c r="K26" i="1"/>
  <c r="K18" i="1"/>
  <c r="K12" i="1"/>
  <c r="K13" i="1" s="1"/>
  <c r="H26" i="1"/>
  <c r="H18" i="1"/>
  <c r="H12" i="1"/>
  <c r="H13" i="1" s="1"/>
  <c r="H23" i="1" s="1"/>
  <c r="L26" i="1"/>
  <c r="L24" i="1"/>
  <c r="L23" i="1"/>
  <c r="L17" i="2"/>
  <c r="L18" i="1"/>
  <c r="L12" i="1"/>
  <c r="L13" i="1" s="1"/>
  <c r="L19" i="1" s="1"/>
  <c r="L21" i="1" s="1"/>
  <c r="C4" i="2"/>
  <c r="C36" i="3" l="1"/>
  <c r="C37" i="3"/>
  <c r="S32" i="1"/>
  <c r="S33" i="1" s="1"/>
  <c r="M23" i="1"/>
  <c r="M19" i="1"/>
  <c r="M21" i="1" s="1"/>
  <c r="M27" i="1" s="1"/>
  <c r="B19" i="1"/>
  <c r="B21" i="1" s="1"/>
  <c r="C27" i="1"/>
  <c r="C24" i="1"/>
  <c r="C23" i="1"/>
  <c r="D27" i="1"/>
  <c r="D24" i="1"/>
  <c r="D23" i="1"/>
  <c r="E19" i="1"/>
  <c r="E21" i="1" s="1"/>
  <c r="E27" i="1" s="1"/>
  <c r="I23" i="1"/>
  <c r="I19" i="1"/>
  <c r="I21" i="1" s="1"/>
  <c r="F19" i="1"/>
  <c r="F21" i="1" s="1"/>
  <c r="J19" i="1"/>
  <c r="J21" i="1" s="1"/>
  <c r="J23" i="1"/>
  <c r="G27" i="1"/>
  <c r="G24" i="1"/>
  <c r="G23" i="1"/>
  <c r="K19" i="1"/>
  <c r="K21" i="1" s="1"/>
  <c r="K23" i="1"/>
  <c r="H19" i="1"/>
  <c r="H21" i="1" s="1"/>
  <c r="H24" i="1" s="1"/>
  <c r="M24" i="1" l="1"/>
  <c r="B27" i="1"/>
  <c r="B24" i="1"/>
  <c r="E24" i="1"/>
  <c r="I24" i="1"/>
  <c r="I27" i="1"/>
  <c r="F27" i="1"/>
  <c r="F24" i="1"/>
  <c r="J27" i="1"/>
  <c r="J24" i="1"/>
  <c r="K27" i="1"/>
  <c r="K24" i="1"/>
  <c r="H27" i="1"/>
  <c r="L27" i="1"/>
</calcChain>
</file>

<file path=xl/sharedStrings.xml><?xml version="1.0" encoding="utf-8"?>
<sst xmlns="http://schemas.openxmlformats.org/spreadsheetml/2006/main" count="187" uniqueCount="165">
  <si>
    <t>Share Price</t>
  </si>
  <si>
    <t>Shares Outstanding</t>
  </si>
  <si>
    <t>Market Cap</t>
  </si>
  <si>
    <t xml:space="preserve">Cash </t>
  </si>
  <si>
    <t>Debt</t>
  </si>
  <si>
    <t>Enterprise Value</t>
  </si>
  <si>
    <t>Q1 2021</t>
  </si>
  <si>
    <t>Q2 2021</t>
  </si>
  <si>
    <t>Q3 2021</t>
  </si>
  <si>
    <t xml:space="preserve">Q4 2021 </t>
  </si>
  <si>
    <t xml:space="preserve">Q1 2022 </t>
  </si>
  <si>
    <t>Q2 2022</t>
  </si>
  <si>
    <t>Q3 2022</t>
  </si>
  <si>
    <t>Q4 2022</t>
  </si>
  <si>
    <t>Q1 2023</t>
  </si>
  <si>
    <t>Q2 2023</t>
  </si>
  <si>
    <t>Q3 2023</t>
  </si>
  <si>
    <t>Revenues</t>
  </si>
  <si>
    <t>Service Revenues</t>
  </si>
  <si>
    <t>Data Processing Revenues</t>
  </si>
  <si>
    <t>International Transaction Revenues</t>
  </si>
  <si>
    <t>Other revenues</t>
  </si>
  <si>
    <t>Client incentives</t>
  </si>
  <si>
    <t>Net Revenues</t>
  </si>
  <si>
    <t>Total operating expenses</t>
  </si>
  <si>
    <t>Non-operating income (expense)</t>
  </si>
  <si>
    <t>Effective income tax rate</t>
  </si>
  <si>
    <t>Net Income</t>
  </si>
  <si>
    <t xml:space="preserve">Operating Expenses </t>
  </si>
  <si>
    <t>Personnel</t>
  </si>
  <si>
    <t>Marketing</t>
  </si>
  <si>
    <t>Network and Processing</t>
  </si>
  <si>
    <t>Professional Fees</t>
  </si>
  <si>
    <t>Depreciation and Amortization</t>
  </si>
  <si>
    <t>General and Administrative</t>
  </si>
  <si>
    <t>Litigation provision</t>
  </si>
  <si>
    <t>Operating Income</t>
  </si>
  <si>
    <t>Non-operating Income (Expense)</t>
  </si>
  <si>
    <t>Interest expense</t>
  </si>
  <si>
    <t>Invesment income (expense and other)</t>
  </si>
  <si>
    <t>Total non-operating income expense)</t>
  </si>
  <si>
    <t>Income before income taxes</t>
  </si>
  <si>
    <t>Income tax provision</t>
  </si>
  <si>
    <t>Operating Margin</t>
  </si>
  <si>
    <t>Net Margin</t>
  </si>
  <si>
    <t>Revenue y/y</t>
  </si>
  <si>
    <t>Net Income y/y</t>
  </si>
  <si>
    <t>Income Statement (millions)</t>
  </si>
  <si>
    <t>Assets</t>
  </si>
  <si>
    <t>Cash and cash equivalents</t>
  </si>
  <si>
    <t xml:space="preserve">Restricted cash equivalents </t>
  </si>
  <si>
    <t>Investment securities</t>
  </si>
  <si>
    <t>Settlement Receivable</t>
  </si>
  <si>
    <t>Accounts Receivable</t>
  </si>
  <si>
    <t>Customer Collateral</t>
  </si>
  <si>
    <t>Current Portion of client incentives</t>
  </si>
  <si>
    <t>Prepaid expenses</t>
  </si>
  <si>
    <t>Total Current Assets</t>
  </si>
  <si>
    <t>PPE</t>
  </si>
  <si>
    <t>Goodwill</t>
  </si>
  <si>
    <t>Intangible Assets</t>
  </si>
  <si>
    <t>Other Assets</t>
  </si>
  <si>
    <t>Total Assets</t>
  </si>
  <si>
    <t>Liabilities</t>
  </si>
  <si>
    <t>Accounts Payable</t>
  </si>
  <si>
    <t xml:space="preserve">Settlement Payable </t>
  </si>
  <si>
    <t>Accrued compensation and benefits</t>
  </si>
  <si>
    <t>Accrued liabilities</t>
  </si>
  <si>
    <t>Current maturities of debt</t>
  </si>
  <si>
    <t xml:space="preserve">Accrued litigation </t>
  </si>
  <si>
    <t>Total current liabilities</t>
  </si>
  <si>
    <t>Long-term debt</t>
  </si>
  <si>
    <t>Deferred tax liabilities</t>
  </si>
  <si>
    <t>Other liabilities</t>
  </si>
  <si>
    <t>Total Liabilities</t>
  </si>
  <si>
    <t>Equity</t>
  </si>
  <si>
    <t>Investment Securities</t>
  </si>
  <si>
    <t>Balance Sheet (30 June 2023)</t>
  </si>
  <si>
    <t>Series A,B, C convertible preferred</t>
  </si>
  <si>
    <t>Class A,B,C common stock</t>
  </si>
  <si>
    <t>Right ot recover for covered losses</t>
  </si>
  <si>
    <t>Accumualted Income</t>
  </si>
  <si>
    <t>Accumualted other comprehensive income (loss)</t>
  </si>
  <si>
    <t>Defined benefit pension and other</t>
  </si>
  <si>
    <t>Derivative Instruments</t>
  </si>
  <si>
    <t>Foreign currency translation adjustmnets</t>
  </si>
  <si>
    <t>Total Accumualted other comprehensive</t>
  </si>
  <si>
    <t>Total Equity</t>
  </si>
  <si>
    <t>Total Liabilities and Equity</t>
  </si>
  <si>
    <t>Cash Flow Statement</t>
  </si>
  <si>
    <t>Adjustments to reconcile net income to net cash</t>
  </si>
  <si>
    <t>Share-based compensation expense</t>
  </si>
  <si>
    <t xml:space="preserve">D &amp; A </t>
  </si>
  <si>
    <t>Deferred income taxes</t>
  </si>
  <si>
    <t>Ve territory covered losses incurred</t>
  </si>
  <si>
    <t>(Gains) losses on equity investmetns</t>
  </si>
  <si>
    <t>Other</t>
  </si>
  <si>
    <t>Change in operating assets and liabilities</t>
  </si>
  <si>
    <t xml:space="preserve">Settlement receivable </t>
  </si>
  <si>
    <t>Other assets</t>
  </si>
  <si>
    <t>Settlement Payable</t>
  </si>
  <si>
    <t>Accrued and other liabilities</t>
  </si>
  <si>
    <t>Accrued Litigation</t>
  </si>
  <si>
    <t>Net Cash provided by operating activities</t>
  </si>
  <si>
    <t>Investing Activities</t>
  </si>
  <si>
    <t>Purchases of PPE</t>
  </si>
  <si>
    <t xml:space="preserve">Purchases </t>
  </si>
  <si>
    <t>Proceeds from maturities and sales</t>
  </si>
  <si>
    <t>Acquisitions, net of cash and restricted cash</t>
  </si>
  <si>
    <t>Settlement of derivative instruments</t>
  </si>
  <si>
    <t>Other investing activities</t>
  </si>
  <si>
    <t>Net Cash provided by investing activities</t>
  </si>
  <si>
    <t>Purchases of other investments</t>
  </si>
  <si>
    <t>Financing Activities</t>
  </si>
  <si>
    <t>Repurchase of Class A common stock</t>
  </si>
  <si>
    <t>Repayments of debt</t>
  </si>
  <si>
    <t>Dividends paid</t>
  </si>
  <si>
    <t>Proceeds from issuance of senior notes</t>
  </si>
  <si>
    <t>Cash proceeds from issuance of Class A</t>
  </si>
  <si>
    <t>Restricted stock and performance based shares</t>
  </si>
  <si>
    <t>Other financing activities</t>
  </si>
  <si>
    <t>Net Cash provided by (used in) financing activities</t>
  </si>
  <si>
    <t>Operating Activities (9 months ended June 30 2023)</t>
  </si>
  <si>
    <t>Annual</t>
  </si>
  <si>
    <t>2024 (Projections here on out)</t>
  </si>
  <si>
    <t>Net Present Value</t>
  </si>
  <si>
    <t>Discount Rate</t>
  </si>
  <si>
    <t>Present Value of Cash Flow</t>
  </si>
  <si>
    <t xml:space="preserve">Per Share </t>
  </si>
  <si>
    <t>Note: Market Expects Visa to continue growing 15%  indefinitely, is this possible?</t>
  </si>
  <si>
    <t>Business Overview</t>
  </si>
  <si>
    <t>Consumer Payments</t>
  </si>
  <si>
    <t>New Flows</t>
  </si>
  <si>
    <t>Value Added Services</t>
  </si>
  <si>
    <t>Tap to Pay</t>
  </si>
  <si>
    <t>Click to pay</t>
  </si>
  <si>
    <t>Tokenization</t>
  </si>
  <si>
    <t>P2P</t>
  </si>
  <si>
    <t>G2C</t>
  </si>
  <si>
    <t>B2C</t>
  </si>
  <si>
    <t>B2b</t>
  </si>
  <si>
    <t>B2B</t>
  </si>
  <si>
    <t>Acceptance solutions</t>
  </si>
  <si>
    <t>Issuing solutions</t>
  </si>
  <si>
    <t>Open Banking</t>
  </si>
  <si>
    <t>Advisory Services</t>
  </si>
  <si>
    <t>2008 Year when public</t>
  </si>
  <si>
    <t>Key Business Drivers</t>
  </si>
  <si>
    <t xml:space="preserve">Payments Volume </t>
  </si>
  <si>
    <t>Cross-Border Volume Excluding Intra-Europe</t>
  </si>
  <si>
    <t>Cross-Border Volume Total</t>
  </si>
  <si>
    <t>Processed Transactions</t>
  </si>
  <si>
    <t>Transactions</t>
  </si>
  <si>
    <t>Cross-Border Volume Results</t>
  </si>
  <si>
    <t>Credit</t>
  </si>
  <si>
    <t>Debit</t>
  </si>
  <si>
    <t>Total</t>
  </si>
  <si>
    <t>Partnering with Financial Institutions to help them process payments</t>
  </si>
  <si>
    <t>Proprietary Network: VisaNet to offer single conenction point for facilitating payment transactions</t>
  </si>
  <si>
    <t>Transaction Processing Network</t>
  </si>
  <si>
    <t>Key Facts</t>
  </si>
  <si>
    <t>Total Payments and Cash Volume</t>
  </si>
  <si>
    <t>14 Trillion</t>
  </si>
  <si>
    <t xml:space="preserve">Visa is not a financial institution </t>
  </si>
  <si>
    <t>Does not issue cards, extend credit, or set rates and fees for account holders of Visa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</si>
</sst>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0" fontId="3" fillId="0" borderId="0" xfId="0" applyFont="1"/>
    <xf numFmtId="165" fontId="0" fillId="0" borderId="0" xfId="1" applyNumberFormat="1" applyFont="1"/>
    <xf numFmtId="165" fontId="3" fillId="0" borderId="0" xfId="1" applyNumberFormat="1" applyFont="1"/>
    <xf numFmtId="165" fontId="0" fillId="0" borderId="0" xfId="0" applyNumberFormat="1"/>
    <xf numFmtId="165" fontId="3" fillId="0" borderId="0" xfId="0" applyNumberFormat="1" applyFont="1"/>
    <xf numFmtId="165" fontId="1" fillId="0" borderId="0" xfId="1" applyNumberFormat="1" applyFont="1"/>
    <xf numFmtId="0" fontId="0" fillId="0" borderId="0" xfId="0" applyFont="1"/>
    <xf numFmtId="9" fontId="0" fillId="0" borderId="0" xfId="0" applyNumberFormat="1" applyFont="1"/>
    <xf numFmtId="9" fontId="0" fillId="0" borderId="0" xfId="0" applyNumberFormat="1"/>
    <xf numFmtId="0" fontId="2" fillId="0" borderId="0" xfId="0" applyFont="1"/>
    <xf numFmtId="43" fontId="3" fillId="0" borderId="0" xfId="0" applyNumberFormat="1" applyFont="1"/>
    <xf numFmtId="165" fontId="0" fillId="0" borderId="0" xfId="0" applyNumberFormat="1" applyFont="1"/>
    <xf numFmtId="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7029-A1A8-4431-9B38-B3A8A1F4BE1E}">
  <dimension ref="A1:XFD123"/>
  <sheetViews>
    <sheetView zoomScale="85" zoomScaleNormal="85" workbookViewId="0">
      <pane xSplit="1" topLeftCell="C1" activePane="topRight" state="frozen"/>
      <selection pane="topRight" activeCell="P2" sqref="P2"/>
    </sheetView>
  </sheetViews>
  <sheetFormatPr defaultRowHeight="14.25" x14ac:dyDescent="0.2"/>
  <cols>
    <col min="1" max="1" width="41.625" bestFit="1" customWidth="1"/>
    <col min="2" max="2" width="10.25" bestFit="1" customWidth="1"/>
    <col min="12" max="12" width="9.75" bestFit="1" customWidth="1"/>
    <col min="18" max="18" width="25.875" bestFit="1" customWidth="1"/>
    <col min="19" max="19" width="11.5" bestFit="1" customWidth="1"/>
    <col min="20" max="20" width="13.75" bestFit="1" customWidth="1"/>
    <col min="21" max="25" width="10.125" bestFit="1" customWidth="1"/>
    <col min="26" max="34" width="11.125" bestFit="1" customWidth="1"/>
  </cols>
  <sheetData>
    <row r="1" spans="1:34 16384:16384" ht="15" x14ac:dyDescent="0.25">
      <c r="A1" s="2" t="s">
        <v>47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s="11" t="s">
        <v>13</v>
      </c>
      <c r="N1" s="2" t="s">
        <v>123</v>
      </c>
      <c r="O1">
        <v>2021</v>
      </c>
      <c r="P1">
        <v>2022</v>
      </c>
      <c r="Q1">
        <v>2023</v>
      </c>
      <c r="R1" t="s">
        <v>124</v>
      </c>
      <c r="S1">
        <v>2025</v>
      </c>
      <c r="T1">
        <v>2026</v>
      </c>
      <c r="U1">
        <v>2027</v>
      </c>
      <c r="V1">
        <v>2028</v>
      </c>
      <c r="W1">
        <v>2029</v>
      </c>
      <c r="X1">
        <v>2030</v>
      </c>
      <c r="Y1">
        <v>2031</v>
      </c>
      <c r="Z1">
        <v>2032</v>
      </c>
      <c r="AA1">
        <v>2033</v>
      </c>
      <c r="AB1">
        <v>2034</v>
      </c>
      <c r="AC1">
        <v>2035</v>
      </c>
      <c r="AD1">
        <v>2036</v>
      </c>
      <c r="AE1">
        <v>2037</v>
      </c>
      <c r="AF1">
        <v>2038</v>
      </c>
      <c r="AG1">
        <v>2039</v>
      </c>
      <c r="AH1">
        <v>2040</v>
      </c>
    </row>
    <row r="2" spans="1:34 16384:16384" ht="15" x14ac:dyDescent="0.25">
      <c r="A2" s="2" t="s">
        <v>23</v>
      </c>
      <c r="B2" s="4">
        <v>5687</v>
      </c>
      <c r="C2" s="4">
        <v>5729</v>
      </c>
      <c r="D2" s="4">
        <v>6130</v>
      </c>
      <c r="E2" s="4">
        <v>6559</v>
      </c>
      <c r="F2" s="4">
        <v>7059</v>
      </c>
      <c r="G2" s="4">
        <v>7189</v>
      </c>
      <c r="H2" s="4">
        <v>7275</v>
      </c>
      <c r="I2" s="4">
        <v>7787</v>
      </c>
      <c r="J2" s="4">
        <v>7936</v>
      </c>
      <c r="K2" s="4">
        <v>7985</v>
      </c>
      <c r="L2" s="4">
        <v>8123</v>
      </c>
      <c r="M2" s="12">
        <f xml:space="preserve"> I2*1.1</f>
        <v>8565.7000000000007</v>
      </c>
      <c r="O2" s="6">
        <f>SUM(B2:E2)</f>
        <v>24105</v>
      </c>
      <c r="P2" s="6">
        <f xml:space="preserve"> SUM(F2:I2)</f>
        <v>29310</v>
      </c>
      <c r="Q2" s="6">
        <f>SUM(J2:M2)</f>
        <v>32609.7</v>
      </c>
      <c r="R2" s="12">
        <f xml:space="preserve"> Q2*1.15</f>
        <v>37501.154999999999</v>
      </c>
      <c r="S2" s="12">
        <f xml:space="preserve"> R2*1.15</f>
        <v>43126.328249999999</v>
      </c>
      <c r="T2" s="12">
        <f xml:space="preserve"> S2*1.15</f>
        <v>49595.277487499996</v>
      </c>
      <c r="U2" s="12">
        <f xml:space="preserve"> T2*1.15</f>
        <v>57034.569110624994</v>
      </c>
      <c r="V2" s="12">
        <f xml:space="preserve"> U2*1.15</f>
        <v>65589.754477218739</v>
      </c>
      <c r="W2" s="12">
        <f xml:space="preserve"> V2*1.15</f>
        <v>75428.217648801539</v>
      </c>
      <c r="X2" s="12">
        <f xml:space="preserve"> W2*1.15</f>
        <v>86742.450296121766</v>
      </c>
      <c r="Y2" s="12">
        <f xml:space="preserve"> X2*1.15</f>
        <v>99753.817840540025</v>
      </c>
      <c r="Z2" s="12">
        <f xml:space="preserve"> Y2*1.15</f>
        <v>114716.89051662102</v>
      </c>
      <c r="AA2" s="12">
        <f xml:space="preserve"> Z2*1.15</f>
        <v>131924.42409411416</v>
      </c>
      <c r="AB2" s="12">
        <f xml:space="preserve"> AA2*1.15</f>
        <v>151713.08770823127</v>
      </c>
      <c r="AC2" s="12">
        <f xml:space="preserve"> AB2*1.15</f>
        <v>174470.05086446594</v>
      </c>
      <c r="AD2" s="12">
        <f xml:space="preserve"> AC2*1.15</f>
        <v>200640.55849413582</v>
      </c>
      <c r="AE2" s="12">
        <f xml:space="preserve"> AD2*1.15</f>
        <v>230736.64226825617</v>
      </c>
      <c r="AF2" s="12">
        <f xml:space="preserve"> AE2*1.15</f>
        <v>265347.1386084946</v>
      </c>
      <c r="AG2" s="12">
        <f xml:space="preserve"> AF2*1.15</f>
        <v>305149.20939976879</v>
      </c>
      <c r="AH2" s="12">
        <f xml:space="preserve"> AG2*1.15</f>
        <v>350921.59080973407</v>
      </c>
      <c r="XFD2" s="12"/>
    </row>
    <row r="3" spans="1:34 16384:16384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34 16384:16384" ht="15" x14ac:dyDescent="0.25">
      <c r="A4" s="2" t="s">
        <v>28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34 16384:16384" x14ac:dyDescent="0.2">
      <c r="A5" t="s">
        <v>29</v>
      </c>
      <c r="B5" s="7">
        <v>981</v>
      </c>
      <c r="C5" s="7">
        <v>1114</v>
      </c>
      <c r="D5" s="7">
        <v>1098</v>
      </c>
      <c r="E5" s="7">
        <v>1047</v>
      </c>
      <c r="F5" s="7">
        <v>1125</v>
      </c>
      <c r="G5" s="7">
        <v>1226</v>
      </c>
      <c r="H5" s="7">
        <v>1283</v>
      </c>
      <c r="I5" s="7">
        <v>1356</v>
      </c>
      <c r="J5" s="7">
        <v>1337</v>
      </c>
      <c r="K5" s="7">
        <v>1515</v>
      </c>
      <c r="L5" s="7">
        <v>1481</v>
      </c>
      <c r="M5" s="7">
        <v>1400</v>
      </c>
      <c r="O5" s="13">
        <f>SUM(B5:E5)</f>
        <v>4240</v>
      </c>
      <c r="P5" s="5">
        <f xml:space="preserve"> SUM(F5:I5)</f>
        <v>4990</v>
      </c>
      <c r="Q5" s="13">
        <f>SUM(J5:M5)</f>
        <v>5733</v>
      </c>
    </row>
    <row r="6" spans="1:34 16384:16384" x14ac:dyDescent="0.2">
      <c r="A6" t="s">
        <v>30</v>
      </c>
      <c r="B6" s="3">
        <v>205</v>
      </c>
      <c r="C6" s="3">
        <v>206</v>
      </c>
      <c r="D6" s="3">
        <v>268</v>
      </c>
      <c r="E6" s="3">
        <v>457</v>
      </c>
      <c r="F6" s="3">
        <v>280</v>
      </c>
      <c r="G6" s="3">
        <v>314</v>
      </c>
      <c r="H6" s="3">
        <v>313</v>
      </c>
      <c r="I6" s="3">
        <v>429</v>
      </c>
      <c r="J6" s="3">
        <v>332</v>
      </c>
      <c r="K6" s="3">
        <v>309</v>
      </c>
      <c r="L6" s="3">
        <v>297</v>
      </c>
      <c r="M6" s="3">
        <v>300</v>
      </c>
      <c r="O6" s="13">
        <f>SUM(B6:E6)</f>
        <v>1136</v>
      </c>
      <c r="P6" s="5">
        <f t="shared" ref="P6:P13" si="0" xml:space="preserve"> SUM(F6:I6)</f>
        <v>1336</v>
      </c>
      <c r="Q6" s="13">
        <f t="shared" ref="Q6:Q21" si="1">SUM(J6:M6)</f>
        <v>1238</v>
      </c>
    </row>
    <row r="7" spans="1:34 16384:16384" x14ac:dyDescent="0.2">
      <c r="A7" t="s">
        <v>31</v>
      </c>
      <c r="B7" s="3">
        <v>173</v>
      </c>
      <c r="C7" s="3">
        <v>179</v>
      </c>
      <c r="D7" s="3">
        <v>186</v>
      </c>
      <c r="E7" s="3">
        <v>192</v>
      </c>
      <c r="F7" s="3">
        <v>190</v>
      </c>
      <c r="G7" s="3">
        <v>190</v>
      </c>
      <c r="H7" s="3">
        <v>178</v>
      </c>
      <c r="I7" s="3">
        <v>185</v>
      </c>
      <c r="J7" s="3">
        <v>178</v>
      </c>
      <c r="K7" s="3">
        <v>179</v>
      </c>
      <c r="L7" s="3">
        <v>182</v>
      </c>
      <c r="M7" s="3">
        <v>182</v>
      </c>
      <c r="O7" s="13">
        <f>SUM(B7:E7)</f>
        <v>730</v>
      </c>
      <c r="P7" s="5">
        <f t="shared" si="0"/>
        <v>743</v>
      </c>
      <c r="Q7" s="13">
        <f t="shared" si="1"/>
        <v>721</v>
      </c>
    </row>
    <row r="8" spans="1:34 16384:16384" x14ac:dyDescent="0.2">
      <c r="A8" t="s">
        <v>32</v>
      </c>
      <c r="B8" s="3">
        <v>83</v>
      </c>
      <c r="C8" s="3">
        <v>82</v>
      </c>
      <c r="D8" s="3">
        <v>108</v>
      </c>
      <c r="E8" s="3">
        <v>130</v>
      </c>
      <c r="F8" s="3">
        <v>100</v>
      </c>
      <c r="G8" s="3">
        <v>125</v>
      </c>
      <c r="H8" s="3">
        <v>117</v>
      </c>
      <c r="I8" s="3">
        <v>163</v>
      </c>
      <c r="J8" s="3">
        <v>109</v>
      </c>
      <c r="K8" s="3">
        <v>130</v>
      </c>
      <c r="L8" s="3">
        <v>133</v>
      </c>
      <c r="M8" s="3">
        <v>133</v>
      </c>
      <c r="O8" s="13">
        <f>SUM(B8:E8)</f>
        <v>403</v>
      </c>
      <c r="P8" s="5">
        <f t="shared" si="0"/>
        <v>505</v>
      </c>
      <c r="Q8" s="13">
        <f t="shared" si="1"/>
        <v>505</v>
      </c>
    </row>
    <row r="9" spans="1:34 16384:16384" x14ac:dyDescent="0.2">
      <c r="A9" t="s">
        <v>33</v>
      </c>
      <c r="B9" s="3">
        <v>197</v>
      </c>
      <c r="C9" s="3">
        <v>201</v>
      </c>
      <c r="D9" s="3">
        <v>204</v>
      </c>
      <c r="E9" s="3">
        <v>202</v>
      </c>
      <c r="F9" s="3">
        <v>198</v>
      </c>
      <c r="G9" s="3">
        <v>207</v>
      </c>
      <c r="H9" s="3">
        <v>230</v>
      </c>
      <c r="I9" s="3">
        <v>226</v>
      </c>
      <c r="J9" s="3">
        <v>227</v>
      </c>
      <c r="K9" s="3">
        <v>234</v>
      </c>
      <c r="L9" s="3">
        <v>235</v>
      </c>
      <c r="M9" s="3">
        <v>235</v>
      </c>
      <c r="O9" s="13">
        <f>SUM(B9:E9)</f>
        <v>804</v>
      </c>
      <c r="P9" s="5">
        <f t="shared" si="0"/>
        <v>861</v>
      </c>
      <c r="Q9" s="13">
        <f t="shared" si="1"/>
        <v>931</v>
      </c>
    </row>
    <row r="10" spans="1:34 16384:16384" x14ac:dyDescent="0.2">
      <c r="A10" t="s">
        <v>34</v>
      </c>
      <c r="B10" s="3">
        <v>203</v>
      </c>
      <c r="C10" s="3">
        <v>363</v>
      </c>
      <c r="D10" s="3">
        <v>204</v>
      </c>
      <c r="E10" s="3">
        <v>215</v>
      </c>
      <c r="F10" s="3">
        <v>242</v>
      </c>
      <c r="G10" s="3">
        <v>325</v>
      </c>
      <c r="H10" s="3">
        <v>289</v>
      </c>
      <c r="I10" s="3">
        <v>338</v>
      </c>
      <c r="J10" s="3">
        <v>322</v>
      </c>
      <c r="K10" s="3">
        <v>282</v>
      </c>
      <c r="L10" s="3">
        <v>314</v>
      </c>
      <c r="M10" s="3">
        <v>314</v>
      </c>
      <c r="O10" s="13">
        <f>SUM(B10:E10)</f>
        <v>985</v>
      </c>
      <c r="P10" s="5">
        <f t="shared" si="0"/>
        <v>1194</v>
      </c>
      <c r="Q10" s="13">
        <f t="shared" si="1"/>
        <v>1232</v>
      </c>
    </row>
    <row r="11" spans="1:34 16384:16384" x14ac:dyDescent="0.2">
      <c r="A11" t="s">
        <v>35</v>
      </c>
      <c r="B11" s="3">
        <v>1</v>
      </c>
      <c r="C11" s="3">
        <v>3</v>
      </c>
      <c r="D11" s="3">
        <v>-2</v>
      </c>
      <c r="E11" s="3">
        <v>1</v>
      </c>
      <c r="F11" s="3">
        <v>148</v>
      </c>
      <c r="G11" s="3">
        <v>0</v>
      </c>
      <c r="H11" s="3">
        <v>717</v>
      </c>
      <c r="I11" s="3">
        <v>3</v>
      </c>
      <c r="J11" s="3">
        <v>341</v>
      </c>
      <c r="K11" s="3">
        <v>0</v>
      </c>
      <c r="L11" s="3">
        <v>457</v>
      </c>
      <c r="M11" s="3">
        <v>457</v>
      </c>
      <c r="O11" s="13">
        <f>SUM(B11:E11)</f>
        <v>3</v>
      </c>
      <c r="P11" s="5">
        <f t="shared" si="0"/>
        <v>868</v>
      </c>
      <c r="Q11" s="13">
        <f t="shared" si="1"/>
        <v>1255</v>
      </c>
    </row>
    <row r="12" spans="1:34 16384:16384" ht="15" x14ac:dyDescent="0.25">
      <c r="A12" s="2" t="s">
        <v>24</v>
      </c>
      <c r="B12" s="4">
        <f>SUM(B5:B11)</f>
        <v>1843</v>
      </c>
      <c r="C12" s="4">
        <f>SUM(C5:C11)</f>
        <v>2148</v>
      </c>
      <c r="D12" s="4">
        <f>SUM(D5:D11)</f>
        <v>2066</v>
      </c>
      <c r="E12" s="4">
        <f>SUM(E5:E11)</f>
        <v>2244</v>
      </c>
      <c r="F12" s="4">
        <f>SUM(F5:F11)</f>
        <v>2283</v>
      </c>
      <c r="G12" s="4">
        <f>SUM(G5:G11)</f>
        <v>2387</v>
      </c>
      <c r="H12" s="4">
        <f>SUM(H5:H11)</f>
        <v>3127</v>
      </c>
      <c r="I12" s="4">
        <f>SUM(I5:I11)</f>
        <v>2700</v>
      </c>
      <c r="J12" s="4">
        <f>SUM(J5:J11)</f>
        <v>2846</v>
      </c>
      <c r="K12" s="4">
        <f>SUM(K5:K11)</f>
        <v>2649</v>
      </c>
      <c r="L12" s="4">
        <f>SUM(L5:L11)</f>
        <v>3099</v>
      </c>
      <c r="M12" s="4">
        <f>SUM(M5:M11)</f>
        <v>3021</v>
      </c>
      <c r="O12" s="6">
        <f>SUM(B12:E12)</f>
        <v>8301</v>
      </c>
      <c r="P12" s="6">
        <f t="shared" si="0"/>
        <v>10497</v>
      </c>
      <c r="Q12" s="6">
        <f t="shared" si="1"/>
        <v>11615</v>
      </c>
    </row>
    <row r="13" spans="1:34 16384:16384" ht="15" x14ac:dyDescent="0.25">
      <c r="A13" s="2" t="s">
        <v>36</v>
      </c>
      <c r="B13" s="4">
        <f xml:space="preserve"> B2 -B12</f>
        <v>3844</v>
      </c>
      <c r="C13" s="4">
        <f xml:space="preserve"> C2 -C12</f>
        <v>3581</v>
      </c>
      <c r="D13" s="4">
        <f xml:space="preserve"> D2 -D12</f>
        <v>4064</v>
      </c>
      <c r="E13" s="4">
        <f xml:space="preserve"> E2 -E12</f>
        <v>4315</v>
      </c>
      <c r="F13" s="4">
        <f xml:space="preserve"> F2 -F12</f>
        <v>4776</v>
      </c>
      <c r="G13" s="4">
        <f xml:space="preserve"> G2 -G12</f>
        <v>4802</v>
      </c>
      <c r="H13" s="4">
        <f xml:space="preserve"> H2 -H12</f>
        <v>4148</v>
      </c>
      <c r="I13" s="4">
        <f xml:space="preserve"> I2 -I12</f>
        <v>5087</v>
      </c>
      <c r="J13" s="4">
        <f xml:space="preserve"> J2 -J12</f>
        <v>5090</v>
      </c>
      <c r="K13" s="4">
        <f xml:space="preserve"> K2 -K12</f>
        <v>5336</v>
      </c>
      <c r="L13" s="4">
        <f xml:space="preserve"> L2 -L12</f>
        <v>5024</v>
      </c>
      <c r="M13" s="4">
        <f xml:space="preserve"> M2 -M12</f>
        <v>5544.7000000000007</v>
      </c>
      <c r="O13" s="6">
        <f>SUM(B13:E13)</f>
        <v>15804</v>
      </c>
      <c r="P13" s="6">
        <f t="shared" si="0"/>
        <v>18813</v>
      </c>
      <c r="Q13" s="6">
        <f t="shared" si="1"/>
        <v>20994.7</v>
      </c>
    </row>
    <row r="14" spans="1:34 16384:16384" x14ac:dyDescent="0.2">
      <c r="Q14" s="13">
        <f t="shared" si="1"/>
        <v>0</v>
      </c>
    </row>
    <row r="15" spans="1:34 16384:16384" ht="15" x14ac:dyDescent="0.25">
      <c r="A15" s="2" t="s">
        <v>37</v>
      </c>
      <c r="Q15" s="13">
        <f t="shared" si="1"/>
        <v>0</v>
      </c>
    </row>
    <row r="16" spans="1:34 16384:16384" x14ac:dyDescent="0.2">
      <c r="A16" t="s">
        <v>38</v>
      </c>
      <c r="B16">
        <v>-136</v>
      </c>
      <c r="C16">
        <v>-121</v>
      </c>
      <c r="D16">
        <v>-131</v>
      </c>
      <c r="E16">
        <v>-125</v>
      </c>
      <c r="F16">
        <v>-134</v>
      </c>
      <c r="G16">
        <v>-134</v>
      </c>
      <c r="H16">
        <v>-111</v>
      </c>
      <c r="I16">
        <v>-159</v>
      </c>
      <c r="J16">
        <v>-137</v>
      </c>
      <c r="K16">
        <v>-142</v>
      </c>
      <c r="L16">
        <v>-182</v>
      </c>
      <c r="M16">
        <v>-182</v>
      </c>
      <c r="O16" s="13">
        <f>SUM(B16:E16)</f>
        <v>-513</v>
      </c>
      <c r="P16" s="5">
        <f t="shared" ref="P16:P21" si="2" xml:space="preserve"> SUM(F16:I16)</f>
        <v>-538</v>
      </c>
      <c r="Q16" s="13">
        <f t="shared" si="1"/>
        <v>-643</v>
      </c>
    </row>
    <row r="17" spans="1:35" x14ac:dyDescent="0.2">
      <c r="A17" t="s">
        <v>39</v>
      </c>
      <c r="B17">
        <v>40</v>
      </c>
      <c r="C17">
        <v>168</v>
      </c>
      <c r="D17">
        <v>456</v>
      </c>
      <c r="E17">
        <v>108</v>
      </c>
      <c r="F17">
        <v>255</v>
      </c>
      <c r="G17">
        <v>-126</v>
      </c>
      <c r="H17">
        <v>-208</v>
      </c>
      <c r="I17">
        <v>-60</v>
      </c>
      <c r="J17">
        <v>24</v>
      </c>
      <c r="K17">
        <v>84</v>
      </c>
      <c r="L17">
        <v>304</v>
      </c>
      <c r="M17">
        <v>304</v>
      </c>
      <c r="O17" s="13">
        <f>SUM(B17:E17)</f>
        <v>772</v>
      </c>
      <c r="P17" s="5">
        <f t="shared" si="2"/>
        <v>-139</v>
      </c>
      <c r="Q17" s="13">
        <f t="shared" si="1"/>
        <v>716</v>
      </c>
    </row>
    <row r="18" spans="1:35" x14ac:dyDescent="0.2">
      <c r="A18" t="s">
        <v>40</v>
      </c>
      <c r="B18">
        <f xml:space="preserve"> SUM(B16:B17)</f>
        <v>-96</v>
      </c>
      <c r="C18">
        <f xml:space="preserve"> SUM(C16:C17)</f>
        <v>47</v>
      </c>
      <c r="D18">
        <f xml:space="preserve"> SUM(D16:D17)</f>
        <v>325</v>
      </c>
      <c r="E18">
        <f xml:space="preserve"> SUM(E16:E17)</f>
        <v>-17</v>
      </c>
      <c r="F18">
        <f xml:space="preserve"> SUM(F16:F17)</f>
        <v>121</v>
      </c>
      <c r="G18">
        <f xml:space="preserve"> SUM(G16:G17)</f>
        <v>-260</v>
      </c>
      <c r="H18">
        <f xml:space="preserve"> SUM(H16:H17)</f>
        <v>-319</v>
      </c>
      <c r="I18">
        <f xml:space="preserve"> SUM(I16:I17)</f>
        <v>-219</v>
      </c>
      <c r="J18">
        <f xml:space="preserve"> SUM(J16:J17)</f>
        <v>-113</v>
      </c>
      <c r="K18">
        <f xml:space="preserve"> SUM(K16:K17)</f>
        <v>-58</v>
      </c>
      <c r="L18">
        <f xml:space="preserve"> SUM(L16:L17)</f>
        <v>122</v>
      </c>
      <c r="M18">
        <f xml:space="preserve"> SUM(M16:M17)</f>
        <v>122</v>
      </c>
      <c r="O18" s="13">
        <f>SUM(B18:E18)</f>
        <v>259</v>
      </c>
      <c r="P18" s="5">
        <f t="shared" si="2"/>
        <v>-677</v>
      </c>
      <c r="Q18" s="13">
        <f t="shared" si="1"/>
        <v>73</v>
      </c>
    </row>
    <row r="19" spans="1:35" ht="15" x14ac:dyDescent="0.25">
      <c r="A19" t="s">
        <v>41</v>
      </c>
      <c r="B19" s="6">
        <f xml:space="preserve"> B13 + B18</f>
        <v>3748</v>
      </c>
      <c r="C19" s="6">
        <f xml:space="preserve"> C13 + C18</f>
        <v>3628</v>
      </c>
      <c r="D19" s="6">
        <f xml:space="preserve"> D13 + D18</f>
        <v>4389</v>
      </c>
      <c r="E19" s="6">
        <f xml:space="preserve"> E13 + E18</f>
        <v>4298</v>
      </c>
      <c r="F19" s="6">
        <f xml:space="preserve"> F13 + F18</f>
        <v>4897</v>
      </c>
      <c r="G19" s="6">
        <f xml:space="preserve"> G13 + G18</f>
        <v>4542</v>
      </c>
      <c r="H19" s="6">
        <f xml:space="preserve"> H13 + H18</f>
        <v>3829</v>
      </c>
      <c r="I19" s="6">
        <f xml:space="preserve"> I13 + I18</f>
        <v>4868</v>
      </c>
      <c r="J19" s="6">
        <f xml:space="preserve"> J13 + J18</f>
        <v>4977</v>
      </c>
      <c r="K19" s="6">
        <f xml:space="preserve"> K13 + K18</f>
        <v>5278</v>
      </c>
      <c r="L19" s="6">
        <f xml:space="preserve"> L13 + L18</f>
        <v>5146</v>
      </c>
      <c r="M19" s="6">
        <f xml:space="preserve"> M13 + M18</f>
        <v>5666.7000000000007</v>
      </c>
      <c r="O19" s="6">
        <f>SUM(B19:E19)</f>
        <v>16063</v>
      </c>
      <c r="P19" s="6">
        <f t="shared" si="2"/>
        <v>18136</v>
      </c>
      <c r="Q19" s="6">
        <f t="shared" si="1"/>
        <v>21067.7</v>
      </c>
    </row>
    <row r="20" spans="1:35" x14ac:dyDescent="0.2">
      <c r="A20" t="s">
        <v>42</v>
      </c>
      <c r="B20">
        <v>622</v>
      </c>
      <c r="C20">
        <v>602</v>
      </c>
      <c r="D20">
        <v>1814</v>
      </c>
      <c r="E20">
        <v>714</v>
      </c>
      <c r="F20">
        <v>938</v>
      </c>
      <c r="G20">
        <v>895</v>
      </c>
      <c r="H20">
        <v>418</v>
      </c>
      <c r="I20">
        <v>928</v>
      </c>
      <c r="J20">
        <v>798</v>
      </c>
      <c r="K20">
        <v>1021</v>
      </c>
      <c r="L20">
        <v>990</v>
      </c>
      <c r="M20">
        <v>1100</v>
      </c>
      <c r="O20" s="13">
        <f>SUM(B20:E20)</f>
        <v>3752</v>
      </c>
      <c r="P20" s="5">
        <f t="shared" si="2"/>
        <v>3179</v>
      </c>
      <c r="Q20" s="13">
        <f t="shared" si="1"/>
        <v>3909</v>
      </c>
    </row>
    <row r="21" spans="1:35" ht="15" x14ac:dyDescent="0.25">
      <c r="A21" s="2" t="s">
        <v>27</v>
      </c>
      <c r="B21" s="6">
        <f>B19 - B20</f>
        <v>3126</v>
      </c>
      <c r="C21" s="6">
        <f>C19 - C20</f>
        <v>3026</v>
      </c>
      <c r="D21" s="6">
        <f>D19 - D20</f>
        <v>2575</v>
      </c>
      <c r="E21" s="6">
        <f>E19 - E20</f>
        <v>3584</v>
      </c>
      <c r="F21" s="6">
        <f>F19 - F20</f>
        <v>3959</v>
      </c>
      <c r="G21" s="6">
        <f>G19 - G20</f>
        <v>3647</v>
      </c>
      <c r="H21" s="6">
        <f>H19 - H20</f>
        <v>3411</v>
      </c>
      <c r="I21" s="6">
        <f>I19 - I20</f>
        <v>3940</v>
      </c>
      <c r="J21" s="6">
        <f>J19 - J20</f>
        <v>4179</v>
      </c>
      <c r="K21" s="6">
        <f>K19 - K20</f>
        <v>4257</v>
      </c>
      <c r="L21" s="6">
        <f>L19 - L20</f>
        <v>4156</v>
      </c>
      <c r="M21" s="6">
        <f>M19 - M20</f>
        <v>4566.7000000000007</v>
      </c>
      <c r="O21" s="6">
        <f>SUM(B21:E21)</f>
        <v>12311</v>
      </c>
      <c r="P21" s="6">
        <f t="shared" si="2"/>
        <v>14957</v>
      </c>
      <c r="Q21" s="6">
        <f t="shared" si="1"/>
        <v>17158.7</v>
      </c>
      <c r="R21" s="12">
        <f>Q21*1.15</f>
        <v>19732.505000000001</v>
      </c>
      <c r="S21" s="12">
        <f>R21*1.15</f>
        <v>22692.38075</v>
      </c>
      <c r="T21" s="12">
        <f>S21*1.15</f>
        <v>26096.237862499998</v>
      </c>
      <c r="U21" s="12">
        <f t="shared" ref="U21:AH21" si="3">T21*1.03</f>
        <v>26879.124998374999</v>
      </c>
      <c r="V21" s="12">
        <f>U21*1.15</f>
        <v>30910.993748131245</v>
      </c>
      <c r="W21" s="12">
        <f>V21*1.15</f>
        <v>35547.642810350932</v>
      </c>
      <c r="X21" s="12">
        <f>W21*1.15</f>
        <v>40879.789231903567</v>
      </c>
      <c r="Y21" s="12">
        <f>X21*1.15</f>
        <v>47011.757616689101</v>
      </c>
      <c r="Z21" s="12">
        <f>Y21*1.15</f>
        <v>54063.521259192465</v>
      </c>
      <c r="AA21" s="12">
        <f>Z21*1.15</f>
        <v>62173.049448071331</v>
      </c>
      <c r="AB21" s="12">
        <f>AA21*1.15</f>
        <v>71499.006865282019</v>
      </c>
      <c r="AC21" s="12">
        <f>AB21*1.15</f>
        <v>82223.85789507431</v>
      </c>
      <c r="AD21" s="12">
        <f>AC21*1.15</f>
        <v>94557.436579335452</v>
      </c>
      <c r="AE21" s="12">
        <f>AD21*1.15</f>
        <v>108741.05206623576</v>
      </c>
      <c r="AF21" s="12">
        <f>AE21*1.15</f>
        <v>125052.20987617111</v>
      </c>
      <c r="AG21" s="12">
        <f>AF21*1.15</f>
        <v>143810.04135759675</v>
      </c>
      <c r="AH21" s="12">
        <f>AG21*1.15</f>
        <v>165381.54756123625</v>
      </c>
      <c r="AI21" s="12"/>
    </row>
    <row r="23" spans="1:35" x14ac:dyDescent="0.2">
      <c r="A23" t="s">
        <v>43</v>
      </c>
      <c r="B23" s="9">
        <f xml:space="preserve"> B13/B2</f>
        <v>0.6759275540706875</v>
      </c>
      <c r="C23" s="9">
        <f xml:space="preserve"> C13/C2</f>
        <v>0.62506545644964218</v>
      </c>
      <c r="D23" s="9">
        <f xml:space="preserve"> D13/D2</f>
        <v>0.66296900489396415</v>
      </c>
      <c r="E23" s="9">
        <f xml:space="preserve"> E13/E2</f>
        <v>0.65787467601768568</v>
      </c>
      <c r="F23" s="9">
        <f xml:space="preserve"> F13/F2</f>
        <v>0.67658308542286438</v>
      </c>
      <c r="G23" s="9">
        <f xml:space="preserve"> G13/G2</f>
        <v>0.66796494644595905</v>
      </c>
      <c r="H23" s="9">
        <f xml:space="preserve"> H13/H2</f>
        <v>0.57017182130584187</v>
      </c>
      <c r="I23" s="9">
        <f xml:space="preserve"> I13/I2</f>
        <v>0.6532682676255297</v>
      </c>
      <c r="J23" s="9">
        <f xml:space="preserve"> J13/J2</f>
        <v>0.64138104838709675</v>
      </c>
      <c r="K23" s="9">
        <f xml:space="preserve"> K13/K2</f>
        <v>0.66825297432686281</v>
      </c>
      <c r="L23" s="9">
        <f xml:space="preserve"> L13/L2</f>
        <v>0.6184907054044072</v>
      </c>
      <c r="M23" s="9">
        <f xml:space="preserve"> M13/M2</f>
        <v>0.64731428838273586</v>
      </c>
      <c r="O23" s="9">
        <f xml:space="preserve"> O13/O2</f>
        <v>0.65563161169881767</v>
      </c>
      <c r="P23" s="9">
        <f xml:space="preserve"> P13/P2</f>
        <v>0.64186284544524053</v>
      </c>
      <c r="Q23" s="9">
        <f xml:space="preserve"> Q13/Q2</f>
        <v>0.64381763708344453</v>
      </c>
    </row>
    <row r="24" spans="1:35" x14ac:dyDescent="0.2">
      <c r="A24" t="s">
        <v>44</v>
      </c>
      <c r="B24" s="10">
        <f xml:space="preserve"> B21/B2</f>
        <v>0.54967469667663094</v>
      </c>
      <c r="C24" s="10">
        <f xml:space="preserve"> C21/C2</f>
        <v>0.52818991097922852</v>
      </c>
      <c r="D24" s="10">
        <f xml:space="preserve"> D21/D2</f>
        <v>0.42006525285481239</v>
      </c>
      <c r="E24" s="10">
        <f xml:space="preserve"> E21/E2</f>
        <v>0.54642475987193173</v>
      </c>
      <c r="F24" s="10">
        <f xml:space="preserve"> F21/F2</f>
        <v>0.56084431222552766</v>
      </c>
      <c r="G24" s="10">
        <f xml:space="preserve"> G21/G2</f>
        <v>0.50730282375851998</v>
      </c>
      <c r="H24" s="10">
        <f xml:space="preserve"> H21/H2</f>
        <v>0.46886597938144331</v>
      </c>
      <c r="I24" s="10">
        <f xml:space="preserve"> I21/I2</f>
        <v>0.50597149094644922</v>
      </c>
      <c r="J24" s="10">
        <f xml:space="preserve"> J21/J2</f>
        <v>0.52658770161290325</v>
      </c>
      <c r="K24" s="10">
        <f xml:space="preserve"> K21/K2</f>
        <v>0.53312460864120226</v>
      </c>
      <c r="L24" s="10">
        <f xml:space="preserve"> L21/L2</f>
        <v>0.5116336328942509</v>
      </c>
      <c r="M24" s="10">
        <f xml:space="preserve"> M21/M2</f>
        <v>0.53313798055033457</v>
      </c>
      <c r="O24" s="10">
        <f xml:space="preserve"> O21/O2</f>
        <v>0.51072391619995849</v>
      </c>
      <c r="P24" s="10">
        <f xml:space="preserve"> P21/P2</f>
        <v>0.51030365063118388</v>
      </c>
      <c r="Q24" s="10">
        <f xml:space="preserve"> Q21/Q2</f>
        <v>0.52618392686838578</v>
      </c>
    </row>
    <row r="26" spans="1:35" x14ac:dyDescent="0.2">
      <c r="A26" t="s">
        <v>45</v>
      </c>
      <c r="B26" s="10" t="e">
        <f xml:space="preserve"> B2/#REF! -1</f>
        <v>#REF!</v>
      </c>
      <c r="C26" s="10" t="e">
        <f xml:space="preserve"> C2/#REF! -1</f>
        <v>#REF!</v>
      </c>
      <c r="D26" s="10" t="e">
        <f xml:space="preserve"> D2/#REF! -1</f>
        <v>#REF!</v>
      </c>
      <c r="E26" s="10" t="e">
        <f xml:space="preserve"> E2/A2 -1</f>
        <v>#VALUE!</v>
      </c>
      <c r="F26" s="10">
        <f xml:space="preserve"> F2/B2 -1</f>
        <v>0.24125197819588529</v>
      </c>
      <c r="G26" s="10">
        <f xml:space="preserve"> G2/C2 -1</f>
        <v>0.25484377727352059</v>
      </c>
      <c r="H26" s="10">
        <f xml:space="preserve"> H2/D2 -1</f>
        <v>0.18678629690048942</v>
      </c>
      <c r="I26" s="10">
        <f xml:space="preserve"> I2/E2 -1</f>
        <v>0.18722366214361941</v>
      </c>
      <c r="J26" s="10">
        <f xml:space="preserve"> J2/F2 -1</f>
        <v>0.12423856070264905</v>
      </c>
      <c r="K26" s="10">
        <f xml:space="preserve"> K2/G2 -1</f>
        <v>0.11072471831965514</v>
      </c>
      <c r="L26" s="10">
        <f xml:space="preserve"> L2/H2 -1</f>
        <v>0.11656357388316141</v>
      </c>
      <c r="M26" s="10">
        <f xml:space="preserve"> M2/I2 -1</f>
        <v>0.10000000000000009</v>
      </c>
      <c r="P26" s="10">
        <f>P2/O2 - 1</f>
        <v>0.21593030491599263</v>
      </c>
      <c r="Q26" s="10">
        <f>Q2/P2 - 1</f>
        <v>0.11257932446264074</v>
      </c>
    </row>
    <row r="27" spans="1:35" x14ac:dyDescent="0.2">
      <c r="A27" t="s">
        <v>46</v>
      </c>
      <c r="B27" s="10" t="e">
        <f xml:space="preserve"> B21/#REF! - 1</f>
        <v>#REF!</v>
      </c>
      <c r="C27" s="10" t="e">
        <f xml:space="preserve"> C21/#REF! - 1</f>
        <v>#REF!</v>
      </c>
      <c r="D27" s="10" t="e">
        <f xml:space="preserve"> D21/#REF! - 1</f>
        <v>#REF!</v>
      </c>
      <c r="E27" s="10" t="e">
        <f xml:space="preserve"> E21/A21 - 1</f>
        <v>#VALUE!</v>
      </c>
      <c r="F27" s="10">
        <f xml:space="preserve"> F21/B21 - 1</f>
        <v>0.26647472808701211</v>
      </c>
      <c r="G27" s="10">
        <f xml:space="preserve"> G21/C21 - 1</f>
        <v>0.20522141440846009</v>
      </c>
      <c r="H27" s="10">
        <f xml:space="preserve"> H21/D21 - 1</f>
        <v>0.32466019417475733</v>
      </c>
      <c r="I27" s="10">
        <f xml:space="preserve"> I21/E21 - 1</f>
        <v>9.9330357142857206E-2</v>
      </c>
      <c r="J27" s="10">
        <f xml:space="preserve"> J21/F21 - 1</f>
        <v>5.5569588279868576E-2</v>
      </c>
      <c r="K27" s="10">
        <f xml:space="preserve"> K21/G21 - 1</f>
        <v>0.16726076227035924</v>
      </c>
      <c r="L27" s="10">
        <f xml:space="preserve"> L21/H21 - 1</f>
        <v>0.21841102316036354</v>
      </c>
      <c r="M27" s="10">
        <f xml:space="preserve"> M21/I21 - 1</f>
        <v>0.15906091370558384</v>
      </c>
      <c r="P27" s="10">
        <f xml:space="preserve"> P21/O21 - 1</f>
        <v>0.21492973763301104</v>
      </c>
      <c r="Q27" s="10">
        <f xml:space="preserve"> Q21/P21 - 1</f>
        <v>0.14720197900648535</v>
      </c>
    </row>
    <row r="29" spans="1:35" ht="15" x14ac:dyDescent="0.25">
      <c r="A29" s="2" t="s">
        <v>77</v>
      </c>
    </row>
    <row r="30" spans="1:35" ht="15" x14ac:dyDescent="0.25">
      <c r="A30" t="s">
        <v>48</v>
      </c>
      <c r="C30" s="3"/>
      <c r="D30" s="3"/>
      <c r="E30" s="3"/>
      <c r="F30" s="3"/>
      <c r="G30" s="3"/>
      <c r="H30" s="3"/>
      <c r="I30" s="3"/>
      <c r="R30" s="2" t="s">
        <v>125</v>
      </c>
    </row>
    <row r="31" spans="1:35" x14ac:dyDescent="0.2">
      <c r="A31" t="s">
        <v>49</v>
      </c>
      <c r="B31" s="3">
        <v>15590</v>
      </c>
      <c r="C31" s="3"/>
      <c r="D31" s="3"/>
      <c r="E31" s="3"/>
      <c r="F31" s="3"/>
      <c r="G31" s="3"/>
      <c r="H31" s="3"/>
      <c r="I31" s="3"/>
      <c r="R31" t="s">
        <v>126</v>
      </c>
      <c r="S31" s="10">
        <v>0.08</v>
      </c>
    </row>
    <row r="32" spans="1:35" x14ac:dyDescent="0.2">
      <c r="A32" t="s">
        <v>50</v>
      </c>
      <c r="B32" s="3">
        <v>1627</v>
      </c>
      <c r="C32" s="3"/>
      <c r="D32" s="3"/>
      <c r="E32" s="3"/>
      <c r="F32" s="3"/>
      <c r="G32" s="3"/>
      <c r="H32" s="3"/>
      <c r="I32" s="3"/>
      <c r="R32" t="s">
        <v>127</v>
      </c>
      <c r="S32" s="14">
        <f>NPV(S31,Q21:AH21)</f>
        <v>467680.55903581879</v>
      </c>
    </row>
    <row r="33" spans="1:20" x14ac:dyDescent="0.2">
      <c r="A33" t="s">
        <v>51</v>
      </c>
      <c r="B33" s="3">
        <v>3166</v>
      </c>
      <c r="C33" s="3"/>
      <c r="D33" s="3"/>
      <c r="E33" s="3"/>
      <c r="F33" s="3"/>
      <c r="G33" s="3"/>
      <c r="H33" s="3"/>
      <c r="I33" s="3"/>
      <c r="R33" t="s">
        <v>128</v>
      </c>
      <c r="S33">
        <f xml:space="preserve"> S32*1000 / T33</f>
        <v>0.25119259003832822</v>
      </c>
      <c r="T33" s="3">
        <f>1606787603+245513385+9539598</f>
        <v>1861840586</v>
      </c>
    </row>
    <row r="34" spans="1:20" x14ac:dyDescent="0.2">
      <c r="A34" t="s">
        <v>52</v>
      </c>
      <c r="B34" s="3">
        <v>2454</v>
      </c>
      <c r="C34" s="3"/>
      <c r="D34" s="3"/>
      <c r="E34" s="3"/>
      <c r="F34" s="3"/>
      <c r="G34" s="3"/>
      <c r="H34" s="3"/>
      <c r="I34" s="3"/>
    </row>
    <row r="35" spans="1:20" x14ac:dyDescent="0.2">
      <c r="A35" t="s">
        <v>53</v>
      </c>
      <c r="B35" s="3">
        <v>2282</v>
      </c>
      <c r="C35" s="3"/>
      <c r="D35" s="3"/>
      <c r="E35" s="3"/>
      <c r="F35" s="3"/>
      <c r="G35" s="3"/>
      <c r="H35" s="3"/>
      <c r="I35" s="3"/>
      <c r="R35" t="s">
        <v>129</v>
      </c>
    </row>
    <row r="36" spans="1:20" x14ac:dyDescent="0.2">
      <c r="A36" t="s">
        <v>54</v>
      </c>
      <c r="B36" s="3">
        <v>2907</v>
      </c>
      <c r="C36" s="3"/>
      <c r="D36" s="3"/>
      <c r="E36" s="3"/>
      <c r="F36" s="3"/>
      <c r="G36" s="3"/>
      <c r="H36" s="3"/>
      <c r="I36" s="3"/>
    </row>
    <row r="37" spans="1:20" x14ac:dyDescent="0.2">
      <c r="A37" t="s">
        <v>55</v>
      </c>
      <c r="B37" s="3">
        <v>1525</v>
      </c>
      <c r="C37" s="3"/>
      <c r="D37" s="3"/>
      <c r="E37" s="3"/>
      <c r="F37" s="3"/>
      <c r="G37" s="3"/>
      <c r="H37" s="3"/>
      <c r="I37" s="3"/>
    </row>
    <row r="38" spans="1:20" x14ac:dyDescent="0.2">
      <c r="A38" t="s">
        <v>56</v>
      </c>
      <c r="B38" s="3">
        <v>2119</v>
      </c>
      <c r="C38" s="3"/>
      <c r="D38" s="3"/>
      <c r="E38" s="3"/>
      <c r="F38" s="3"/>
      <c r="G38" s="3"/>
      <c r="H38" s="3"/>
      <c r="I38" s="3"/>
    </row>
    <row r="39" spans="1:20" ht="15" x14ac:dyDescent="0.25">
      <c r="A39" s="2" t="s">
        <v>57</v>
      </c>
      <c r="B39" s="4">
        <f>SUM(B31:B38)</f>
        <v>31670</v>
      </c>
      <c r="C39" s="3"/>
      <c r="D39" s="3"/>
      <c r="E39" s="3"/>
      <c r="F39" s="3"/>
      <c r="G39" s="3"/>
      <c r="H39" s="3"/>
      <c r="I39" s="3"/>
    </row>
    <row r="40" spans="1:20" x14ac:dyDescent="0.2">
      <c r="B40" s="3"/>
      <c r="C40" s="3"/>
      <c r="D40" s="3"/>
      <c r="E40" s="3"/>
      <c r="F40" s="3"/>
      <c r="G40" s="3"/>
      <c r="H40" s="3"/>
      <c r="I40" s="3"/>
    </row>
    <row r="41" spans="1:20" x14ac:dyDescent="0.2">
      <c r="A41" t="s">
        <v>76</v>
      </c>
      <c r="B41" s="3">
        <v>2122</v>
      </c>
      <c r="C41" s="3"/>
      <c r="D41" s="3"/>
      <c r="E41" s="3"/>
      <c r="F41" s="3"/>
      <c r="G41" s="3"/>
      <c r="H41" s="3"/>
      <c r="I41" s="3"/>
    </row>
    <row r="42" spans="1:20" x14ac:dyDescent="0.2">
      <c r="A42" t="s">
        <v>22</v>
      </c>
      <c r="B42" s="3">
        <v>3811</v>
      </c>
      <c r="C42" s="3"/>
      <c r="D42" s="3"/>
      <c r="E42" s="3"/>
      <c r="F42" s="3"/>
      <c r="G42" s="3"/>
      <c r="H42" s="3"/>
      <c r="I42" s="3"/>
    </row>
    <row r="43" spans="1:20" x14ac:dyDescent="0.2">
      <c r="A43" t="s">
        <v>58</v>
      </c>
      <c r="B43" s="3">
        <v>3370</v>
      </c>
      <c r="C43" s="3"/>
      <c r="D43" s="3"/>
      <c r="E43" s="3"/>
      <c r="F43" s="3"/>
      <c r="G43" s="3"/>
      <c r="H43" s="3"/>
      <c r="I43" s="3"/>
    </row>
    <row r="44" spans="1:20" x14ac:dyDescent="0.2">
      <c r="A44" t="s">
        <v>59</v>
      </c>
      <c r="B44" s="3">
        <v>18082</v>
      </c>
      <c r="C44" s="3"/>
      <c r="D44" s="3"/>
      <c r="E44" s="3"/>
      <c r="F44" s="3"/>
      <c r="G44" s="3"/>
      <c r="H44" s="3"/>
      <c r="I44" s="3"/>
    </row>
    <row r="45" spans="1:20" x14ac:dyDescent="0.2">
      <c r="A45" t="s">
        <v>60</v>
      </c>
      <c r="B45" s="3">
        <v>26576</v>
      </c>
      <c r="C45" s="3"/>
      <c r="D45" s="3"/>
      <c r="E45" s="3"/>
      <c r="F45" s="3"/>
      <c r="G45" s="3"/>
      <c r="H45" s="3"/>
      <c r="I45" s="3"/>
    </row>
    <row r="46" spans="1:20" x14ac:dyDescent="0.2">
      <c r="A46" t="s">
        <v>61</v>
      </c>
      <c r="B46" s="3">
        <v>3603</v>
      </c>
      <c r="C46" s="3"/>
      <c r="D46" s="3"/>
      <c r="E46" s="3"/>
      <c r="F46" s="3"/>
      <c r="G46" s="3"/>
      <c r="H46" s="3"/>
      <c r="I46" s="3"/>
    </row>
    <row r="47" spans="1:20" ht="15" x14ac:dyDescent="0.25">
      <c r="A47" s="2" t="s">
        <v>62</v>
      </c>
      <c r="B47" s="4">
        <f xml:space="preserve"> SUM(B41:B46) +B39</f>
        <v>89234</v>
      </c>
      <c r="C47" s="3"/>
      <c r="D47" s="3"/>
      <c r="E47" s="3"/>
      <c r="F47" s="3"/>
      <c r="G47" s="3"/>
      <c r="H47" s="3"/>
      <c r="I47" s="3"/>
    </row>
    <row r="48" spans="1:20" x14ac:dyDescent="0.2">
      <c r="B48" s="3"/>
      <c r="C48" s="3"/>
      <c r="D48" s="3"/>
      <c r="E48" s="3"/>
      <c r="F48" s="3"/>
      <c r="G48" s="3"/>
      <c r="H48" s="3"/>
      <c r="I48" s="3"/>
    </row>
    <row r="49" spans="1:9" ht="15" x14ac:dyDescent="0.25">
      <c r="A49" s="2" t="s">
        <v>63</v>
      </c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t="s">
        <v>64</v>
      </c>
      <c r="B50" s="3">
        <v>281</v>
      </c>
      <c r="C50" s="3"/>
      <c r="D50" s="3"/>
      <c r="E50" s="3"/>
      <c r="F50" s="3"/>
      <c r="G50" s="3"/>
      <c r="H50" s="3"/>
      <c r="I50" s="3"/>
    </row>
    <row r="51" spans="1:9" x14ac:dyDescent="0.2">
      <c r="A51" t="s">
        <v>65</v>
      </c>
      <c r="B51" s="3">
        <v>3675</v>
      </c>
      <c r="C51" s="3"/>
      <c r="D51" s="3"/>
      <c r="E51" s="3"/>
      <c r="F51" s="3"/>
      <c r="G51" s="3"/>
      <c r="H51" s="3"/>
      <c r="I51" s="3"/>
    </row>
    <row r="52" spans="1:9" x14ac:dyDescent="0.2">
      <c r="A52" t="s">
        <v>54</v>
      </c>
      <c r="B52" s="3">
        <v>2907</v>
      </c>
      <c r="C52" s="3"/>
      <c r="D52" s="3"/>
      <c r="E52" s="3"/>
      <c r="F52" s="3"/>
      <c r="G52" s="3"/>
      <c r="H52" s="3"/>
      <c r="I52" s="3"/>
    </row>
    <row r="53" spans="1:9" x14ac:dyDescent="0.2">
      <c r="A53" t="s">
        <v>66</v>
      </c>
      <c r="B53" s="3">
        <v>1215</v>
      </c>
      <c r="C53" s="3"/>
      <c r="D53" s="3"/>
      <c r="E53" s="3"/>
      <c r="F53" s="3"/>
      <c r="G53" s="3"/>
      <c r="H53" s="3"/>
      <c r="I53" s="3"/>
    </row>
    <row r="54" spans="1:9" x14ac:dyDescent="0.2">
      <c r="A54" t="s">
        <v>22</v>
      </c>
      <c r="B54" s="3">
        <v>7532</v>
      </c>
      <c r="C54" s="3"/>
      <c r="D54" s="3"/>
      <c r="E54" s="3"/>
      <c r="F54" s="3"/>
      <c r="G54" s="3"/>
      <c r="H54" s="3"/>
      <c r="I54" s="3"/>
    </row>
    <row r="55" spans="1:9" x14ac:dyDescent="0.2">
      <c r="A55" t="s">
        <v>67</v>
      </c>
      <c r="B55" s="3">
        <v>4075</v>
      </c>
      <c r="C55" s="3"/>
      <c r="D55" s="3"/>
      <c r="E55" s="3"/>
      <c r="F55" s="3"/>
      <c r="G55" s="3"/>
      <c r="H55" s="3"/>
      <c r="I55" s="3"/>
    </row>
    <row r="56" spans="1:9" x14ac:dyDescent="0.2">
      <c r="A56" t="s">
        <v>68</v>
      </c>
      <c r="B56" s="3">
        <v>0</v>
      </c>
      <c r="C56" s="3"/>
      <c r="D56" s="3"/>
      <c r="E56" s="3"/>
      <c r="F56" s="3"/>
      <c r="G56" s="3"/>
      <c r="H56" s="3"/>
      <c r="I56" s="3"/>
    </row>
    <row r="57" spans="1:9" x14ac:dyDescent="0.2">
      <c r="A57" t="s">
        <v>69</v>
      </c>
      <c r="B57" s="3">
        <v>1545</v>
      </c>
      <c r="C57" s="3"/>
      <c r="D57" s="3"/>
      <c r="E57" s="3"/>
      <c r="F57" s="3"/>
      <c r="G57" s="3"/>
      <c r="H57" s="3"/>
      <c r="I57" s="3"/>
    </row>
    <row r="58" spans="1:9" ht="15" x14ac:dyDescent="0.25">
      <c r="A58" s="2" t="s">
        <v>70</v>
      </c>
      <c r="B58" s="4">
        <f>SUM(B50:B57)</f>
        <v>21230</v>
      </c>
      <c r="C58" s="3"/>
      <c r="D58" s="3"/>
      <c r="E58" s="3"/>
      <c r="F58" s="3"/>
      <c r="G58" s="3"/>
      <c r="H58" s="3"/>
      <c r="I58" s="3"/>
    </row>
    <row r="59" spans="1:9" x14ac:dyDescent="0.2">
      <c r="B59" s="3"/>
      <c r="C59" s="3"/>
      <c r="D59" s="3"/>
      <c r="E59" s="3"/>
      <c r="F59" s="3"/>
      <c r="G59" s="3"/>
      <c r="H59" s="3"/>
      <c r="I59" s="3"/>
    </row>
    <row r="60" spans="1:9" x14ac:dyDescent="0.2">
      <c r="A60" t="s">
        <v>71</v>
      </c>
      <c r="B60" s="3">
        <v>20560</v>
      </c>
      <c r="C60" s="3"/>
      <c r="D60" s="3"/>
      <c r="E60" s="3"/>
      <c r="F60" s="3"/>
      <c r="G60" s="3"/>
      <c r="H60" s="3"/>
      <c r="I60" s="3"/>
    </row>
    <row r="61" spans="1:9" x14ac:dyDescent="0.2">
      <c r="A61" t="s">
        <v>72</v>
      </c>
      <c r="B61" s="3">
        <v>5380</v>
      </c>
      <c r="C61" s="3"/>
      <c r="D61" s="3"/>
      <c r="E61" s="3"/>
      <c r="F61" s="3"/>
      <c r="G61" s="3"/>
      <c r="H61" s="3"/>
      <c r="I61" s="3"/>
    </row>
    <row r="62" spans="1:9" x14ac:dyDescent="0.2">
      <c r="A62" t="s">
        <v>73</v>
      </c>
      <c r="B62" s="3">
        <v>3083</v>
      </c>
      <c r="C62" s="3"/>
      <c r="D62" s="3"/>
      <c r="E62" s="3"/>
      <c r="F62" s="3"/>
      <c r="G62" s="3"/>
      <c r="H62" s="3"/>
      <c r="I62" s="3"/>
    </row>
    <row r="63" spans="1:9" ht="15" x14ac:dyDescent="0.25">
      <c r="A63" s="2" t="s">
        <v>74</v>
      </c>
      <c r="B63" s="4">
        <f>SUM(B60:B62) +B58</f>
        <v>50253</v>
      </c>
      <c r="C63" s="3"/>
      <c r="D63" s="3"/>
      <c r="E63" s="3"/>
      <c r="F63" s="3"/>
      <c r="G63" s="3"/>
      <c r="H63" s="3"/>
      <c r="I63" s="3"/>
    </row>
    <row r="64" spans="1:9" x14ac:dyDescent="0.2">
      <c r="B64" s="3"/>
      <c r="C64" s="3"/>
      <c r="D64" s="3"/>
      <c r="E64" s="3"/>
      <c r="F64" s="3"/>
      <c r="G64" s="3"/>
      <c r="H64" s="3"/>
      <c r="I64" s="3"/>
    </row>
    <row r="65" spans="1:9" ht="15" x14ac:dyDescent="0.25">
      <c r="A65" s="2" t="s">
        <v>75</v>
      </c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t="s">
        <v>78</v>
      </c>
      <c r="B66">
        <v>1786</v>
      </c>
    </row>
    <row r="67" spans="1:9" x14ac:dyDescent="0.2">
      <c r="A67" t="s">
        <v>79</v>
      </c>
      <c r="B67">
        <v>20290</v>
      </c>
    </row>
    <row r="68" spans="1:9" x14ac:dyDescent="0.2">
      <c r="A68" t="s">
        <v>80</v>
      </c>
      <c r="B68">
        <v>-25</v>
      </c>
    </row>
    <row r="69" spans="1:9" x14ac:dyDescent="0.2">
      <c r="A69" t="s">
        <v>81</v>
      </c>
      <c r="B69">
        <v>17908</v>
      </c>
    </row>
    <row r="70" spans="1:9" x14ac:dyDescent="0.2">
      <c r="A70" t="s">
        <v>82</v>
      </c>
    </row>
    <row r="71" spans="1:9" x14ac:dyDescent="0.2">
      <c r="A71" t="s">
        <v>51</v>
      </c>
      <c r="B71">
        <v>-80</v>
      </c>
    </row>
    <row r="72" spans="1:9" x14ac:dyDescent="0.2">
      <c r="A72" t="s">
        <v>83</v>
      </c>
      <c r="B72">
        <v>-158</v>
      </c>
    </row>
    <row r="73" spans="1:9" x14ac:dyDescent="0.2">
      <c r="A73" t="s">
        <v>84</v>
      </c>
      <c r="B73">
        <v>-259</v>
      </c>
    </row>
    <row r="74" spans="1:9" x14ac:dyDescent="0.2">
      <c r="A74" t="s">
        <v>85</v>
      </c>
      <c r="B74">
        <v>-481</v>
      </c>
    </row>
    <row r="76" spans="1:9" x14ac:dyDescent="0.2">
      <c r="A76" t="s">
        <v>86</v>
      </c>
      <c r="B76">
        <v>-978</v>
      </c>
    </row>
    <row r="77" spans="1:9" ht="15" x14ac:dyDescent="0.25">
      <c r="A77" s="2" t="s">
        <v>87</v>
      </c>
      <c r="B77" s="2">
        <v>38981</v>
      </c>
    </row>
    <row r="78" spans="1:9" ht="15" x14ac:dyDescent="0.25">
      <c r="A78" s="2" t="s">
        <v>88</v>
      </c>
      <c r="B78" s="2">
        <v>89234</v>
      </c>
    </row>
    <row r="80" spans="1:9" ht="15" x14ac:dyDescent="0.25">
      <c r="A80" s="2" t="s">
        <v>89</v>
      </c>
    </row>
    <row r="82" spans="1:2" ht="15" x14ac:dyDescent="0.25">
      <c r="A82" s="2" t="s">
        <v>122</v>
      </c>
    </row>
    <row r="83" spans="1:2" x14ac:dyDescent="0.2">
      <c r="A83" t="s">
        <v>27</v>
      </c>
      <c r="B83" s="3">
        <v>12592</v>
      </c>
    </row>
    <row r="84" spans="1:2" x14ac:dyDescent="0.2">
      <c r="A84" s="8" t="s">
        <v>90</v>
      </c>
    </row>
    <row r="85" spans="1:2" x14ac:dyDescent="0.2">
      <c r="A85" t="s">
        <v>22</v>
      </c>
      <c r="B85" s="3">
        <v>8858</v>
      </c>
    </row>
    <row r="86" spans="1:2" x14ac:dyDescent="0.2">
      <c r="A86" s="8" t="s">
        <v>91</v>
      </c>
      <c r="B86" s="3">
        <v>591</v>
      </c>
    </row>
    <row r="87" spans="1:2" x14ac:dyDescent="0.2">
      <c r="A87" t="s">
        <v>92</v>
      </c>
      <c r="B87" s="3">
        <v>696</v>
      </c>
    </row>
    <row r="88" spans="1:2" x14ac:dyDescent="0.2">
      <c r="A88" s="8" t="s">
        <v>93</v>
      </c>
      <c r="B88" s="3">
        <v>-253</v>
      </c>
    </row>
    <row r="89" spans="1:2" x14ac:dyDescent="0.2">
      <c r="A89" t="s">
        <v>94</v>
      </c>
      <c r="B89" s="3">
        <v>-21</v>
      </c>
    </row>
    <row r="90" spans="1:2" x14ac:dyDescent="0.2">
      <c r="A90" s="8" t="s">
        <v>95</v>
      </c>
      <c r="B90" s="3">
        <v>111</v>
      </c>
    </row>
    <row r="91" spans="1:2" x14ac:dyDescent="0.2">
      <c r="A91" t="s">
        <v>96</v>
      </c>
      <c r="B91" s="3">
        <v>-7</v>
      </c>
    </row>
    <row r="93" spans="1:2" x14ac:dyDescent="0.2">
      <c r="A93" t="s">
        <v>97</v>
      </c>
    </row>
    <row r="94" spans="1:2" x14ac:dyDescent="0.2">
      <c r="A94" t="s">
        <v>98</v>
      </c>
      <c r="B94" s="3">
        <v>-373</v>
      </c>
    </row>
    <row r="95" spans="1:2" x14ac:dyDescent="0.2">
      <c r="A95" t="s">
        <v>53</v>
      </c>
      <c r="B95" s="3">
        <v>-228</v>
      </c>
    </row>
    <row r="96" spans="1:2" x14ac:dyDescent="0.2">
      <c r="A96" t="s">
        <v>22</v>
      </c>
      <c r="B96" s="3">
        <v>-8188</v>
      </c>
    </row>
    <row r="97" spans="1:2" x14ac:dyDescent="0.2">
      <c r="A97" t="s">
        <v>99</v>
      </c>
      <c r="B97" s="3">
        <v>-66</v>
      </c>
    </row>
    <row r="98" spans="1:2" x14ac:dyDescent="0.2">
      <c r="A98" t="s">
        <v>64</v>
      </c>
      <c r="B98" s="3">
        <v>-51</v>
      </c>
    </row>
    <row r="99" spans="1:2" x14ac:dyDescent="0.2">
      <c r="A99" t="s">
        <v>100</v>
      </c>
      <c r="B99" s="3">
        <v>114</v>
      </c>
    </row>
    <row r="100" spans="1:2" x14ac:dyDescent="0.2">
      <c r="A100" t="s">
        <v>101</v>
      </c>
      <c r="B100" s="3">
        <v>-34</v>
      </c>
    </row>
    <row r="101" spans="1:2" x14ac:dyDescent="0.2">
      <c r="A101" t="s">
        <v>102</v>
      </c>
      <c r="B101" s="3">
        <v>87</v>
      </c>
    </row>
    <row r="102" spans="1:2" ht="15" x14ac:dyDescent="0.25">
      <c r="A102" s="2" t="s">
        <v>103</v>
      </c>
      <c r="B102" s="3">
        <f>SUM(B83:B101)</f>
        <v>13828</v>
      </c>
    </row>
    <row r="103" spans="1:2" x14ac:dyDescent="0.2">
      <c r="B103" s="3"/>
    </row>
    <row r="104" spans="1:2" ht="15" x14ac:dyDescent="0.25">
      <c r="A104" s="2" t="s">
        <v>104</v>
      </c>
      <c r="B104" s="3"/>
    </row>
    <row r="105" spans="1:2" x14ac:dyDescent="0.2">
      <c r="A105" t="s">
        <v>105</v>
      </c>
      <c r="B105" s="3">
        <v>-754</v>
      </c>
    </row>
    <row r="106" spans="1:2" x14ac:dyDescent="0.2">
      <c r="A106" s="8" t="s">
        <v>76</v>
      </c>
      <c r="B106" s="3"/>
    </row>
    <row r="107" spans="1:2" x14ac:dyDescent="0.2">
      <c r="A107" t="s">
        <v>106</v>
      </c>
      <c r="B107" s="3">
        <v>-2817</v>
      </c>
    </row>
    <row r="108" spans="1:2" x14ac:dyDescent="0.2">
      <c r="A108" s="8" t="s">
        <v>107</v>
      </c>
      <c r="B108" s="3">
        <v>2410</v>
      </c>
    </row>
    <row r="109" spans="1:2" x14ac:dyDescent="0.2">
      <c r="A109" t="s">
        <v>108</v>
      </c>
      <c r="B109" s="3">
        <v>0</v>
      </c>
    </row>
    <row r="110" spans="1:2" x14ac:dyDescent="0.2">
      <c r="A110" s="8" t="s">
        <v>112</v>
      </c>
      <c r="B110" s="3">
        <v>-81</v>
      </c>
    </row>
    <row r="111" spans="1:2" x14ac:dyDescent="0.2">
      <c r="A111" t="s">
        <v>109</v>
      </c>
      <c r="B111" s="3">
        <v>402</v>
      </c>
    </row>
    <row r="112" spans="1:2" x14ac:dyDescent="0.2">
      <c r="A112" s="8" t="s">
        <v>110</v>
      </c>
      <c r="B112" s="3">
        <v>22</v>
      </c>
    </row>
    <row r="113" spans="1:2" x14ac:dyDescent="0.2">
      <c r="A113" t="s">
        <v>111</v>
      </c>
      <c r="B113" s="3">
        <f xml:space="preserve"> SUM(B105:B112)</f>
        <v>-818</v>
      </c>
    </row>
    <row r="114" spans="1:2" x14ac:dyDescent="0.2">
      <c r="B114" s="3"/>
    </row>
    <row r="115" spans="1:2" ht="15" x14ac:dyDescent="0.25">
      <c r="A115" s="2" t="s">
        <v>113</v>
      </c>
      <c r="B115" s="3"/>
    </row>
    <row r="116" spans="1:2" x14ac:dyDescent="0.2">
      <c r="A116" t="s">
        <v>114</v>
      </c>
      <c r="B116" s="3">
        <v>-8350</v>
      </c>
    </row>
    <row r="117" spans="1:2" x14ac:dyDescent="0.2">
      <c r="A117" t="s">
        <v>115</v>
      </c>
      <c r="B117" s="3">
        <v>-2250</v>
      </c>
    </row>
    <row r="118" spans="1:2" x14ac:dyDescent="0.2">
      <c r="A118" t="s">
        <v>116</v>
      </c>
      <c r="B118" s="3">
        <v>-2823</v>
      </c>
    </row>
    <row r="119" spans="1:2" x14ac:dyDescent="0.2">
      <c r="A119" t="s">
        <v>117</v>
      </c>
      <c r="B119" s="3">
        <v>0</v>
      </c>
    </row>
    <row r="120" spans="1:2" x14ac:dyDescent="0.2">
      <c r="A120" t="s">
        <v>118</v>
      </c>
      <c r="B120" s="3">
        <v>189</v>
      </c>
    </row>
    <row r="121" spans="1:2" x14ac:dyDescent="0.2">
      <c r="A121" t="s">
        <v>119</v>
      </c>
      <c r="B121" s="3">
        <v>-125</v>
      </c>
    </row>
    <row r="122" spans="1:2" x14ac:dyDescent="0.2">
      <c r="A122" t="s">
        <v>120</v>
      </c>
      <c r="B122" s="3">
        <v>167</v>
      </c>
    </row>
    <row r="123" spans="1:2" x14ac:dyDescent="0.2">
      <c r="A123" t="s">
        <v>121</v>
      </c>
      <c r="B123" s="3">
        <f>SUM(B116:B122)</f>
        <v>-13192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D330-89FD-4A86-98FE-11AFDE6FEC6B}">
  <dimension ref="A3:L22"/>
  <sheetViews>
    <sheetView tabSelected="1" workbookViewId="0">
      <selection activeCell="C34" sqref="C34"/>
    </sheetView>
  </sheetViews>
  <sheetFormatPr defaultRowHeight="14.25" x14ac:dyDescent="0.2"/>
  <cols>
    <col min="2" max="2" width="17.375" bestFit="1" customWidth="1"/>
    <col min="3" max="3" width="18.375" bestFit="1" customWidth="1"/>
  </cols>
  <sheetData>
    <row r="3" spans="1:12" x14ac:dyDescent="0.2">
      <c r="B3" t="s">
        <v>0</v>
      </c>
      <c r="C3" s="3">
        <v>240.04</v>
      </c>
      <c r="D3" s="1"/>
      <c r="E3" s="1"/>
    </row>
    <row r="4" spans="1:12" x14ac:dyDescent="0.2">
      <c r="B4" t="s">
        <v>1</v>
      </c>
      <c r="C4" s="3">
        <f>1606787603+245513385+9539598</f>
        <v>1861840586</v>
      </c>
      <c r="D4" s="1"/>
      <c r="E4" s="1"/>
    </row>
    <row r="5" spans="1:12" ht="15" x14ac:dyDescent="0.25">
      <c r="B5" t="s">
        <v>2</v>
      </c>
      <c r="C5" s="4">
        <f xml:space="preserve"> C4*C3</f>
        <v>446916214263.44</v>
      </c>
      <c r="D5" s="1"/>
      <c r="E5" s="1"/>
    </row>
    <row r="6" spans="1:12" x14ac:dyDescent="0.2">
      <c r="B6" t="s">
        <v>3</v>
      </c>
      <c r="C6" s="3">
        <f>15590+1627+3166+2454+2122</f>
        <v>24959</v>
      </c>
      <c r="D6" s="1"/>
      <c r="E6" s="1"/>
    </row>
    <row r="7" spans="1:12" x14ac:dyDescent="0.2">
      <c r="B7" t="s">
        <v>4</v>
      </c>
      <c r="C7" s="3">
        <v>20560</v>
      </c>
      <c r="D7" s="1"/>
      <c r="E7" s="1"/>
    </row>
    <row r="8" spans="1:12" ht="15" x14ac:dyDescent="0.25">
      <c r="B8" t="s">
        <v>5</v>
      </c>
      <c r="C8" s="4">
        <f xml:space="preserve"> C5 - C6 +C7</f>
        <v>446916209864.44</v>
      </c>
      <c r="D8" s="1"/>
      <c r="E8" s="1"/>
    </row>
    <row r="9" spans="1:12" x14ac:dyDescent="0.2">
      <c r="C9" s="1"/>
      <c r="D9" s="1"/>
      <c r="E9" s="1"/>
    </row>
    <row r="11" spans="1:12" ht="15" x14ac:dyDescent="0.25">
      <c r="A11" s="2" t="s">
        <v>17</v>
      </c>
    </row>
    <row r="12" spans="1:12" x14ac:dyDescent="0.2">
      <c r="A12" t="s">
        <v>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3668</v>
      </c>
    </row>
    <row r="13" spans="1:12" x14ac:dyDescent="0.2">
      <c r="A13" t="s">
        <v>19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>
        <v>4105</v>
      </c>
    </row>
    <row r="14" spans="1:12" x14ac:dyDescent="0.2">
      <c r="A14" t="s">
        <v>20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2920</v>
      </c>
    </row>
    <row r="15" spans="1:12" x14ac:dyDescent="0.2">
      <c r="A15" t="s">
        <v>21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597</v>
      </c>
    </row>
    <row r="16" spans="1:12" x14ac:dyDescent="0.2">
      <c r="A16" t="s">
        <v>22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>
        <v>-3167</v>
      </c>
    </row>
    <row r="17" spans="1:12" ht="15" x14ac:dyDescent="0.25">
      <c r="A17" s="2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>
        <f>SUM(L12:L16)</f>
        <v>8123</v>
      </c>
    </row>
    <row r="18" spans="1:12" x14ac:dyDescent="0.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">
      <c r="A19" t="s">
        <v>24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>
        <v>3099</v>
      </c>
    </row>
    <row r="20" spans="1:12" x14ac:dyDescent="0.2">
      <c r="A20" t="s">
        <v>25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>
        <v>122</v>
      </c>
    </row>
    <row r="21" spans="1:12" x14ac:dyDescent="0.2">
      <c r="A21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" x14ac:dyDescent="0.25">
      <c r="A22" s="2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6F79-36DF-4BCA-8924-B20385B29E84}">
  <dimension ref="A1:F41"/>
  <sheetViews>
    <sheetView workbookViewId="0">
      <selection activeCell="A13" sqref="A13"/>
    </sheetView>
  </sheetViews>
  <sheetFormatPr defaultRowHeight="14.25" x14ac:dyDescent="0.2"/>
  <cols>
    <col min="1" max="1" width="30.125" bestFit="1" customWidth="1"/>
    <col min="2" max="2" width="18.5" bestFit="1" customWidth="1"/>
    <col min="3" max="3" width="14.5" bestFit="1" customWidth="1"/>
    <col min="4" max="4" width="12.375" bestFit="1" customWidth="1"/>
    <col min="5" max="5" width="15.5" bestFit="1" customWidth="1"/>
  </cols>
  <sheetData>
    <row r="1" spans="1:6" x14ac:dyDescent="0.2">
      <c r="A1" t="s">
        <v>16</v>
      </c>
    </row>
    <row r="2" spans="1:6" ht="15" x14ac:dyDescent="0.25">
      <c r="A2" s="2" t="s">
        <v>130</v>
      </c>
    </row>
    <row r="3" spans="1:6" x14ac:dyDescent="0.2">
      <c r="A3" t="s">
        <v>131</v>
      </c>
      <c r="B3" t="s">
        <v>134</v>
      </c>
      <c r="C3" t="s">
        <v>135</v>
      </c>
      <c r="D3" t="s">
        <v>136</v>
      </c>
    </row>
    <row r="4" spans="1:6" x14ac:dyDescent="0.2">
      <c r="A4" t="s">
        <v>132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</row>
    <row r="5" spans="1:6" x14ac:dyDescent="0.2">
      <c r="A5" t="s">
        <v>133</v>
      </c>
      <c r="B5" t="s">
        <v>142</v>
      </c>
      <c r="C5" t="s">
        <v>143</v>
      </c>
      <c r="D5" t="s">
        <v>144</v>
      </c>
      <c r="E5" t="s">
        <v>145</v>
      </c>
    </row>
    <row r="7" spans="1:6" ht="15" x14ac:dyDescent="0.25">
      <c r="A7" s="2" t="s">
        <v>160</v>
      </c>
    </row>
    <row r="8" spans="1:6" x14ac:dyDescent="0.2">
      <c r="A8" t="s">
        <v>157</v>
      </c>
    </row>
    <row r="9" spans="1:6" x14ac:dyDescent="0.2">
      <c r="A9" t="s">
        <v>158</v>
      </c>
    </row>
    <row r="10" spans="1:6" x14ac:dyDescent="0.2">
      <c r="A10" t="s">
        <v>159</v>
      </c>
    </row>
    <row r="11" spans="1:6" x14ac:dyDescent="0.2">
      <c r="A11" t="s">
        <v>146</v>
      </c>
    </row>
    <row r="12" spans="1:6" x14ac:dyDescent="0.2">
      <c r="A12" t="s">
        <v>163</v>
      </c>
      <c r="B12" t="s">
        <v>164</v>
      </c>
    </row>
    <row r="13" spans="1:6" x14ac:dyDescent="0.2">
      <c r="A13">
        <v>2022</v>
      </c>
      <c r="B13" t="s">
        <v>161</v>
      </c>
    </row>
    <row r="14" spans="1:6" x14ac:dyDescent="0.2">
      <c r="B14" t="s">
        <v>162</v>
      </c>
    </row>
    <row r="21" spans="1:3" ht="15" x14ac:dyDescent="0.25">
      <c r="A21" s="2" t="s">
        <v>147</v>
      </c>
    </row>
    <row r="22" spans="1:3" x14ac:dyDescent="0.2">
      <c r="A22" t="s">
        <v>148</v>
      </c>
    </row>
    <row r="23" spans="1:3" x14ac:dyDescent="0.2">
      <c r="A23" s="8" t="s">
        <v>149</v>
      </c>
    </row>
    <row r="24" spans="1:3" x14ac:dyDescent="0.2">
      <c r="A24" t="s">
        <v>150</v>
      </c>
    </row>
    <row r="25" spans="1:3" x14ac:dyDescent="0.2">
      <c r="A25" s="8" t="s">
        <v>151</v>
      </c>
    </row>
    <row r="27" spans="1:3" x14ac:dyDescent="0.2">
      <c r="B27" t="s">
        <v>152</v>
      </c>
      <c r="C27" t="s">
        <v>153</v>
      </c>
    </row>
    <row r="28" spans="1:3" x14ac:dyDescent="0.2">
      <c r="A28" t="s">
        <v>154</v>
      </c>
    </row>
    <row r="29" spans="1:3" x14ac:dyDescent="0.2">
      <c r="A29" t="s">
        <v>155</v>
      </c>
    </row>
    <row r="30" spans="1:3" x14ac:dyDescent="0.2">
      <c r="A30" t="s">
        <v>156</v>
      </c>
    </row>
    <row r="35" spans="1:3" ht="15" x14ac:dyDescent="0.25">
      <c r="A35" s="2" t="s">
        <v>17</v>
      </c>
    </row>
    <row r="36" spans="1:3" x14ac:dyDescent="0.2">
      <c r="A36" t="s">
        <v>18</v>
      </c>
      <c r="B36" s="3">
        <v>3668</v>
      </c>
      <c r="C36" s="10">
        <f>B36/B41</f>
        <v>0.45155730641388647</v>
      </c>
    </row>
    <row r="37" spans="1:3" x14ac:dyDescent="0.2">
      <c r="A37" t="s">
        <v>19</v>
      </c>
      <c r="B37" s="3">
        <v>4105</v>
      </c>
      <c r="C37" s="10">
        <f xml:space="preserve"> B37/B41</f>
        <v>0.5053551643481472</v>
      </c>
    </row>
    <row r="38" spans="1:3" x14ac:dyDescent="0.2">
      <c r="A38" t="s">
        <v>20</v>
      </c>
      <c r="B38" s="3">
        <v>2920</v>
      </c>
      <c r="C38" s="10">
        <f xml:space="preserve"> B38/B41</f>
        <v>0.35947310107103286</v>
      </c>
    </row>
    <row r="39" spans="1:3" x14ac:dyDescent="0.2">
      <c r="A39" t="s">
        <v>21</v>
      </c>
      <c r="B39" s="3">
        <v>597</v>
      </c>
    </row>
    <row r="40" spans="1:3" x14ac:dyDescent="0.2">
      <c r="A40" t="s">
        <v>22</v>
      </c>
      <c r="B40" s="3">
        <v>-3167</v>
      </c>
    </row>
    <row r="41" spans="1:3" ht="15" x14ac:dyDescent="0.25">
      <c r="A41" s="2" t="s">
        <v>23</v>
      </c>
      <c r="B41" s="4">
        <f>SUM(B36:B40)</f>
        <v>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Financials</vt:lpstr>
      <vt:lpstr>Cap Structure</vt:lpstr>
      <vt:lpstr>Segmental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2023-08-14T11:59:21Z</dcterms:created>
  <dcterms:modified xsi:type="dcterms:W3CDTF">2023-08-14T14:03:29Z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2023-08-14T12:02:59Z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26d9f01e-af58-499a-aecf-539bbe9fe6f9</vt:lpwstr>
  </property>
  <property fmtid="{D5CDD505-2E9C-101B-9397-08002B2CF9AE}" pid="7" name="MSIP_Label_defa4170-0d19-0005-0004-bc88714345d2_ActionId">
    <vt:lpwstr>fe200d66-374d-4031-a926-2cd171701abd</vt:lpwstr>
  </property>
  <property fmtid="{D5CDD505-2E9C-101B-9397-08002B2CF9AE}" pid="8" name="MSIP_Label_defa4170-0d19-0005-0004-bc88714345d2_ContentBits">
    <vt:lpwstr>0</vt:lpwstr>
  </property>
</Properties>
</file>