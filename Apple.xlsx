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 Financial Models\Models\"/>
    </mc:Choice>
  </mc:AlternateContent>
  <xr:revisionPtr revIDLastSave="0" documentId="13_ncr:1_{C310FE22-BDDA-4DAF-A629-329049F488E1}" xr6:coauthVersionLast="47" xr6:coauthVersionMax="47" xr10:uidLastSave="{00000000-0000-0000-0000-000000000000}"/>
  <bookViews>
    <workbookView xWindow="-120" yWindow="-120" windowWidth="29040" windowHeight="15840" xr2:uid="{6C58322D-ED0B-4BDA-8997-513CC7A3FAD1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7" i="3"/>
  <c r="C6" i="3"/>
  <c r="D10" i="3" s="1"/>
  <c r="B7" i="1"/>
  <c r="B19" i="1"/>
  <c r="B12" i="1"/>
  <c r="D19" i="1"/>
  <c r="D12" i="1"/>
  <c r="D7" i="1"/>
  <c r="H19" i="1"/>
  <c r="H12" i="1"/>
  <c r="H7" i="1"/>
  <c r="I19" i="1"/>
  <c r="I34" i="1"/>
  <c r="F19" i="1"/>
  <c r="F12" i="1"/>
  <c r="F7" i="1"/>
  <c r="J7" i="1"/>
  <c r="J34" i="1" s="1"/>
  <c r="J19" i="1"/>
  <c r="J12" i="1"/>
  <c r="G5" i="2"/>
  <c r="C6" i="2" s="1"/>
  <c r="G2" i="2"/>
  <c r="D3" i="2"/>
  <c r="G19" i="1"/>
  <c r="G12" i="1"/>
  <c r="G7" i="1"/>
  <c r="K19" i="1"/>
  <c r="K12" i="1"/>
  <c r="K7" i="1"/>
  <c r="Q35" i="1"/>
  <c r="Q34" i="1"/>
  <c r="D9" i="3" l="1"/>
  <c r="B13" i="1"/>
  <c r="B21" i="1" s="1"/>
  <c r="D13" i="1"/>
  <c r="D26" i="1" s="1"/>
  <c r="D21" i="1"/>
  <c r="H34" i="1"/>
  <c r="H13" i="1"/>
  <c r="I13" i="1"/>
  <c r="K34" i="1"/>
  <c r="Q36" i="1"/>
  <c r="K13" i="1"/>
  <c r="K26" i="1" s="1"/>
  <c r="Q37" i="1"/>
  <c r="F13" i="1"/>
  <c r="F26" i="1" s="1"/>
  <c r="J13" i="1"/>
  <c r="J21" i="1" s="1"/>
  <c r="J27" i="1" s="1"/>
  <c r="C7" i="2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G13" i="1"/>
  <c r="G21" i="1" s="1"/>
  <c r="G24" i="1" l="1"/>
  <c r="G31" i="1" s="1"/>
  <c r="G27" i="1"/>
  <c r="B26" i="1"/>
  <c r="B27" i="1"/>
  <c r="B24" i="1"/>
  <c r="D27" i="1"/>
  <c r="D24" i="1"/>
  <c r="H26" i="1"/>
  <c r="H21" i="1"/>
  <c r="I26" i="1"/>
  <c r="I21" i="1"/>
  <c r="K21" i="1"/>
  <c r="F21" i="1"/>
  <c r="F27" i="1" s="1"/>
  <c r="J24" i="1"/>
  <c r="J31" i="1" s="1"/>
  <c r="J26" i="1"/>
  <c r="D2" i="2"/>
  <c r="G26" i="1"/>
  <c r="K24" i="1" l="1"/>
  <c r="K27" i="1"/>
  <c r="G28" i="1"/>
  <c r="B31" i="1"/>
  <c r="B28" i="1"/>
  <c r="D31" i="1"/>
  <c r="D28" i="1"/>
  <c r="H24" i="1"/>
  <c r="H27" i="1"/>
  <c r="I24" i="1"/>
  <c r="I27" i="1"/>
  <c r="F24" i="1"/>
  <c r="F31" i="1" s="1"/>
  <c r="J28" i="1"/>
  <c r="F28" i="1" l="1"/>
  <c r="P4" i="1"/>
  <c r="K28" i="1"/>
  <c r="K31" i="1"/>
  <c r="H31" i="1"/>
  <c r="H28" i="1"/>
  <c r="I31" i="1"/>
  <c r="I28" i="1"/>
  <c r="Q4" i="1" l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Q21" i="1"/>
  <c r="Q23" i="1" l="1"/>
  <c r="Q24" i="1" s="1"/>
  <c r="Q22" i="1"/>
</calcChain>
</file>

<file path=xl/sharedStrings.xml><?xml version="1.0" encoding="utf-8"?>
<sst xmlns="http://schemas.openxmlformats.org/spreadsheetml/2006/main" count="82" uniqueCount="74">
  <si>
    <t>Apple</t>
  </si>
  <si>
    <t>Stock Price</t>
  </si>
  <si>
    <t>Shares Outstanding</t>
  </si>
  <si>
    <t xml:space="preserve">Market Cap </t>
  </si>
  <si>
    <t>Cash</t>
  </si>
  <si>
    <t>Debt</t>
  </si>
  <si>
    <t>Enterprise Value</t>
  </si>
  <si>
    <t>Net Cash</t>
  </si>
  <si>
    <t>Revenue</t>
  </si>
  <si>
    <t>Q121</t>
  </si>
  <si>
    <t>Q221</t>
  </si>
  <si>
    <t>Q321</t>
  </si>
  <si>
    <t>Q421</t>
  </si>
  <si>
    <t>Q122</t>
  </si>
  <si>
    <t>Q222</t>
  </si>
  <si>
    <t>Q322</t>
  </si>
  <si>
    <t>Q422</t>
  </si>
  <si>
    <t>Products</t>
  </si>
  <si>
    <t>Services</t>
  </si>
  <si>
    <t>(Millions)</t>
  </si>
  <si>
    <t>Q123</t>
  </si>
  <si>
    <t>Q223</t>
  </si>
  <si>
    <t>Q323</t>
  </si>
  <si>
    <t>Q423</t>
  </si>
  <si>
    <t>Total Revenue</t>
  </si>
  <si>
    <t>Cost of Sales</t>
  </si>
  <si>
    <t>Gross Profit</t>
  </si>
  <si>
    <t>Total Cost of Goods Sale</t>
  </si>
  <si>
    <t>Gross Margin</t>
  </si>
  <si>
    <t>Operating Expenses</t>
  </si>
  <si>
    <t>Research and Development</t>
  </si>
  <si>
    <t>Selling, General, and Administrative</t>
  </si>
  <si>
    <t>Total Operating Expenses</t>
  </si>
  <si>
    <t>Operating Profits</t>
  </si>
  <si>
    <t>Other income/Expenses</t>
  </si>
  <si>
    <t xml:space="preserve">Taxes </t>
  </si>
  <si>
    <t>Net Income</t>
  </si>
  <si>
    <t>Net Profit Margin</t>
  </si>
  <si>
    <t>EPS</t>
  </si>
  <si>
    <t>Revenue Y/Y</t>
  </si>
  <si>
    <t>Balance Sheet</t>
  </si>
  <si>
    <t>A/R</t>
  </si>
  <si>
    <t>Inventories</t>
  </si>
  <si>
    <t>Vendor NTR</t>
  </si>
  <si>
    <t>OCA</t>
  </si>
  <si>
    <t>PP&amp;E</t>
  </si>
  <si>
    <t>Goodwill + Intangibles</t>
  </si>
  <si>
    <t>ONCA</t>
  </si>
  <si>
    <t>Total Assets</t>
  </si>
  <si>
    <t>A/P</t>
  </si>
  <si>
    <t>A/E</t>
  </si>
  <si>
    <t>D/R</t>
  </si>
  <si>
    <t>ONCL</t>
  </si>
  <si>
    <t>Liabilities</t>
  </si>
  <si>
    <t>SE</t>
  </si>
  <si>
    <t>L+SE</t>
  </si>
  <si>
    <t>Year</t>
  </si>
  <si>
    <t>Present Value</t>
  </si>
  <si>
    <t>Discount Rate</t>
  </si>
  <si>
    <t>Amount Collected</t>
  </si>
  <si>
    <t>Total Number of Years</t>
  </si>
  <si>
    <t>Placeholder number</t>
  </si>
  <si>
    <t>Operating Margin</t>
  </si>
  <si>
    <t>Fiscal Years</t>
  </si>
  <si>
    <t>Net Income/FCF</t>
  </si>
  <si>
    <t>Net Present Value of Cash Flows</t>
  </si>
  <si>
    <t>Per Share</t>
  </si>
  <si>
    <t xml:space="preserve">Value now </t>
  </si>
  <si>
    <t>Products Breakdown</t>
  </si>
  <si>
    <t>iPhone</t>
  </si>
  <si>
    <t>Mac</t>
  </si>
  <si>
    <t>Ipad</t>
  </si>
  <si>
    <t>Wearables, Home and Accessosries</t>
  </si>
  <si>
    <t>Percentage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</si>
</sst>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3" fontId="2" fillId="0" borderId="0" xfId="1" applyFont="1"/>
    <xf numFmtId="43" fontId="1" fillId="0" borderId="0" xfId="1" applyFont="1"/>
    <xf numFmtId="43" fontId="0" fillId="0" borderId="0" xfId="1" applyFont="1"/>
    <xf numFmtId="43" fontId="0" fillId="0" borderId="0" xfId="0" applyNumberForma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8" fontId="0" fillId="0" borderId="0" xfId="0" applyNumberFormat="1"/>
    <xf numFmtId="9" fontId="0" fillId="0" borderId="0" xfId="2" applyFont="1"/>
    <xf numFmtId="9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BA01-2F83-4F2D-BFA8-E0BFEF227D02}">
  <dimension ref="A3:AU55"/>
  <sheetViews>
    <sheetView tabSelected="1" topLeftCell="A6" zoomScale="85" zoomScaleNormal="85" workbookViewId="0">
      <selection activeCell="G7" sqref="G7"/>
    </sheetView>
  </sheetViews>
  <sheetFormatPr defaultRowHeight="14.25" x14ac:dyDescent="0.2"/>
  <cols>
    <col min="1" max="1" width="30.125" bestFit="1" customWidth="1"/>
    <col min="2" max="2" width="11.125" bestFit="1" customWidth="1"/>
    <col min="3" max="3" width="6.625" bestFit="1" customWidth="1"/>
    <col min="4" max="4" width="10.125" bestFit="1" customWidth="1"/>
    <col min="5" max="5" width="6.625" bestFit="1" customWidth="1"/>
    <col min="6" max="6" width="11.125" bestFit="1" customWidth="1"/>
    <col min="7" max="7" width="10.125" bestFit="1" customWidth="1"/>
    <col min="8" max="8" width="11.875" bestFit="1" customWidth="1"/>
    <col min="9" max="9" width="10.125" bestFit="1" customWidth="1"/>
    <col min="10" max="10" width="11.125" bestFit="1" customWidth="1"/>
    <col min="11" max="11" width="12.5" bestFit="1" customWidth="1"/>
    <col min="12" max="13" width="6.625" bestFit="1" customWidth="1"/>
    <col min="14" max="14" width="15.25" customWidth="1"/>
    <col min="15" max="15" width="14.375" bestFit="1" customWidth="1"/>
    <col min="16" max="16" width="18.625" bestFit="1" customWidth="1"/>
    <col min="17" max="17" width="13.125" bestFit="1" customWidth="1"/>
    <col min="18" max="47" width="11.125" bestFit="1" customWidth="1"/>
  </cols>
  <sheetData>
    <row r="3" spans="1:47" x14ac:dyDescent="0.2">
      <c r="A3" t="s">
        <v>19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20</v>
      </c>
      <c r="K3" s="2" t="s">
        <v>21</v>
      </c>
      <c r="L3" s="2" t="s">
        <v>22</v>
      </c>
      <c r="M3" s="2" t="s">
        <v>23</v>
      </c>
      <c r="O3" s="2" t="s">
        <v>63</v>
      </c>
      <c r="P3">
        <v>2023</v>
      </c>
      <c r="Q3">
        <v>2024</v>
      </c>
      <c r="R3">
        <v>2025</v>
      </c>
      <c r="S3">
        <v>2026</v>
      </c>
      <c r="T3">
        <v>2027</v>
      </c>
      <c r="U3">
        <v>2028</v>
      </c>
      <c r="V3">
        <v>2029</v>
      </c>
      <c r="W3">
        <v>2030</v>
      </c>
      <c r="X3">
        <v>2031</v>
      </c>
      <c r="Y3">
        <v>2032</v>
      </c>
      <c r="Z3">
        <v>2033</v>
      </c>
      <c r="AA3">
        <v>2034</v>
      </c>
      <c r="AB3">
        <v>2035</v>
      </c>
      <c r="AC3">
        <v>2036</v>
      </c>
      <c r="AD3">
        <v>2037</v>
      </c>
      <c r="AE3">
        <v>2038</v>
      </c>
      <c r="AF3">
        <v>2039</v>
      </c>
      <c r="AG3">
        <v>2040</v>
      </c>
      <c r="AH3">
        <v>2041</v>
      </c>
      <c r="AI3">
        <v>2042</v>
      </c>
      <c r="AJ3">
        <v>2043</v>
      </c>
      <c r="AK3">
        <v>2044</v>
      </c>
      <c r="AL3">
        <v>2045</v>
      </c>
      <c r="AM3">
        <v>2046</v>
      </c>
      <c r="AN3">
        <v>2047</v>
      </c>
      <c r="AO3">
        <v>2048</v>
      </c>
      <c r="AP3">
        <v>2049</v>
      </c>
      <c r="AQ3">
        <v>2050</v>
      </c>
      <c r="AR3">
        <v>2051</v>
      </c>
      <c r="AS3">
        <v>2052</v>
      </c>
      <c r="AT3">
        <v>2053</v>
      </c>
      <c r="AU3">
        <v>2054</v>
      </c>
    </row>
    <row r="4" spans="1:47" ht="15" x14ac:dyDescent="0.25">
      <c r="A4" s="1" t="s">
        <v>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t="s">
        <v>64</v>
      </c>
      <c r="P4" s="4">
        <f xml:space="preserve"> SUM(H24:K24)</f>
        <v>94218</v>
      </c>
      <c r="Q4" s="4">
        <f t="shared" ref="Q4:AU4" si="0" xml:space="preserve"> P4 * 1.05</f>
        <v>98928.900000000009</v>
      </c>
      <c r="R4" s="4">
        <f t="shared" si="0"/>
        <v>103875.34500000002</v>
      </c>
      <c r="S4" s="4">
        <f t="shared" si="0"/>
        <v>109069.11225000002</v>
      </c>
      <c r="T4" s="4">
        <f t="shared" si="0"/>
        <v>114522.56786250003</v>
      </c>
      <c r="U4" s="4">
        <f t="shared" si="0"/>
        <v>120248.69625562504</v>
      </c>
      <c r="V4" s="4">
        <f t="shared" si="0"/>
        <v>126261.13106840629</v>
      </c>
      <c r="W4" s="4">
        <f t="shared" si="0"/>
        <v>132574.18762182663</v>
      </c>
      <c r="X4" s="4">
        <f t="shared" si="0"/>
        <v>139202.89700291798</v>
      </c>
      <c r="Y4" s="4">
        <f t="shared" si="0"/>
        <v>146163.04185306389</v>
      </c>
      <c r="Z4" s="4">
        <f t="shared" si="0"/>
        <v>153471.1939457171</v>
      </c>
      <c r="AA4" s="4">
        <f t="shared" si="0"/>
        <v>161144.75364300294</v>
      </c>
      <c r="AB4" s="4">
        <f t="shared" si="0"/>
        <v>169201.9913251531</v>
      </c>
      <c r="AC4" s="4">
        <f t="shared" si="0"/>
        <v>177662.09089141077</v>
      </c>
      <c r="AD4" s="4">
        <f t="shared" si="0"/>
        <v>186545.19543598132</v>
      </c>
      <c r="AE4" s="4">
        <f t="shared" si="0"/>
        <v>195872.45520778041</v>
      </c>
      <c r="AF4" s="4">
        <f t="shared" si="0"/>
        <v>205666.07796816944</v>
      </c>
      <c r="AG4" s="4">
        <f t="shared" si="0"/>
        <v>215949.38186657793</v>
      </c>
      <c r="AH4" s="4">
        <f t="shared" si="0"/>
        <v>226746.85095990682</v>
      </c>
      <c r="AI4" s="4">
        <f t="shared" si="0"/>
        <v>238084.19350790218</v>
      </c>
      <c r="AJ4" s="4">
        <f t="shared" si="0"/>
        <v>249988.40318329731</v>
      </c>
      <c r="AK4" s="4">
        <f t="shared" si="0"/>
        <v>262487.82334246219</v>
      </c>
      <c r="AL4" s="4">
        <f t="shared" si="0"/>
        <v>275612.21450958529</v>
      </c>
      <c r="AM4" s="4">
        <f t="shared" si="0"/>
        <v>289392.82523506455</v>
      </c>
      <c r="AN4" s="4">
        <f t="shared" si="0"/>
        <v>303862.46649681777</v>
      </c>
      <c r="AO4" s="4">
        <f t="shared" si="0"/>
        <v>319055.58982165868</v>
      </c>
      <c r="AP4" s="4">
        <f t="shared" si="0"/>
        <v>335008.36931274162</v>
      </c>
      <c r="AQ4" s="4">
        <f t="shared" si="0"/>
        <v>351758.7877783787</v>
      </c>
      <c r="AR4" s="4">
        <f t="shared" si="0"/>
        <v>369346.72716729762</v>
      </c>
      <c r="AS4" s="4">
        <f t="shared" si="0"/>
        <v>387814.06352566252</v>
      </c>
      <c r="AT4" s="4">
        <f t="shared" si="0"/>
        <v>407204.76670194569</v>
      </c>
      <c r="AU4" s="4">
        <f t="shared" si="0"/>
        <v>427565.00503704301</v>
      </c>
    </row>
    <row r="5" spans="1:47" x14ac:dyDescent="0.2">
      <c r="A5" t="s">
        <v>17</v>
      </c>
      <c r="B5" s="3">
        <v>95678</v>
      </c>
      <c r="C5" s="3"/>
      <c r="D5" s="3">
        <v>63948</v>
      </c>
      <c r="E5" s="3"/>
      <c r="F5" s="3">
        <v>104429</v>
      </c>
      <c r="G5" s="3">
        <v>77457</v>
      </c>
      <c r="H5" s="3">
        <v>63355</v>
      </c>
      <c r="I5" s="3"/>
      <c r="J5" s="3">
        <v>96388</v>
      </c>
      <c r="K5" s="3">
        <v>73929</v>
      </c>
      <c r="L5" s="3"/>
      <c r="M5" s="3"/>
    </row>
    <row r="6" spans="1:47" x14ac:dyDescent="0.2">
      <c r="A6" t="s">
        <v>18</v>
      </c>
      <c r="B6" s="3">
        <v>15761</v>
      </c>
      <c r="C6" s="3"/>
      <c r="D6" s="3">
        <v>17486</v>
      </c>
      <c r="E6" s="3"/>
      <c r="F6" s="3">
        <v>19516</v>
      </c>
      <c r="G6" s="3">
        <v>19821</v>
      </c>
      <c r="H6" s="3">
        <v>19604</v>
      </c>
      <c r="I6" s="3"/>
      <c r="J6" s="3">
        <v>20766</v>
      </c>
      <c r="K6" s="3">
        <v>20907</v>
      </c>
      <c r="L6" s="3"/>
      <c r="M6" s="3"/>
    </row>
    <row r="7" spans="1:47" x14ac:dyDescent="0.2">
      <c r="A7" t="s">
        <v>24</v>
      </c>
      <c r="B7" s="3">
        <f xml:space="preserve"> B5 +B6</f>
        <v>111439</v>
      </c>
      <c r="C7" s="3"/>
      <c r="D7" s="3">
        <f xml:space="preserve"> D5 +D6</f>
        <v>81434</v>
      </c>
      <c r="E7" s="3"/>
      <c r="F7" s="3">
        <f xml:space="preserve"> F5 +F6</f>
        <v>123945</v>
      </c>
      <c r="G7" s="3">
        <f xml:space="preserve"> G5 +G6</f>
        <v>97278</v>
      </c>
      <c r="H7" s="3">
        <f xml:space="preserve"> H5 +H6</f>
        <v>82959</v>
      </c>
      <c r="I7" s="3">
        <v>90146</v>
      </c>
      <c r="J7" s="3">
        <f xml:space="preserve"> J5 +J6</f>
        <v>117154</v>
      </c>
      <c r="K7" s="3">
        <f xml:space="preserve"> K5 +K6</f>
        <v>94836</v>
      </c>
      <c r="L7" s="3"/>
      <c r="M7" s="3"/>
    </row>
    <row r="8" spans="1:47" x14ac:dyDescent="0.2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47" x14ac:dyDescent="0.2">
      <c r="A9" t="s">
        <v>25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47" x14ac:dyDescent="0.2">
      <c r="A10" t="s">
        <v>17</v>
      </c>
      <c r="B10" s="3">
        <v>62130</v>
      </c>
      <c r="C10" s="3"/>
      <c r="D10" s="3">
        <v>40899</v>
      </c>
      <c r="E10" s="3"/>
      <c r="F10" s="3">
        <v>64309</v>
      </c>
      <c r="G10" s="3">
        <v>49290</v>
      </c>
      <c r="H10" s="3">
        <v>41485</v>
      </c>
      <c r="I10" s="3">
        <v>46795</v>
      </c>
      <c r="J10" s="3">
        <v>60765</v>
      </c>
      <c r="K10" s="3">
        <v>46795</v>
      </c>
      <c r="L10" s="3"/>
      <c r="M10" s="3"/>
    </row>
    <row r="11" spans="1:47" x14ac:dyDescent="0.2">
      <c r="A11" t="s">
        <v>18</v>
      </c>
      <c r="B11" s="3">
        <v>4981</v>
      </c>
      <c r="C11" s="3"/>
      <c r="D11" s="3">
        <v>5280</v>
      </c>
      <c r="E11" s="3"/>
      <c r="F11" s="3">
        <v>5393</v>
      </c>
      <c r="G11" s="3">
        <v>5429</v>
      </c>
      <c r="H11" s="3">
        <v>5589</v>
      </c>
      <c r="I11" s="3">
        <v>6065</v>
      </c>
      <c r="J11" s="3">
        <v>6057</v>
      </c>
      <c r="K11" s="3">
        <v>6065</v>
      </c>
      <c r="L11" s="3"/>
      <c r="M11" s="3"/>
    </row>
    <row r="12" spans="1:47" x14ac:dyDescent="0.2">
      <c r="A12" t="s">
        <v>27</v>
      </c>
      <c r="B12" s="3">
        <f xml:space="preserve"> B10 + B11</f>
        <v>67111</v>
      </c>
      <c r="C12" s="3"/>
      <c r="D12" s="3">
        <f xml:space="preserve"> D10 + D11</f>
        <v>46179</v>
      </c>
      <c r="E12" s="3"/>
      <c r="F12" s="3">
        <f xml:space="preserve"> F10 + F11</f>
        <v>69702</v>
      </c>
      <c r="G12" s="3">
        <f xml:space="preserve"> G10 + G11</f>
        <v>54719</v>
      </c>
      <c r="H12" s="3">
        <f xml:space="preserve"> H10 + H11</f>
        <v>47074</v>
      </c>
      <c r="I12" s="3">
        <v>52051</v>
      </c>
      <c r="J12" s="3">
        <f xml:space="preserve"> J10 + J11</f>
        <v>66822</v>
      </c>
      <c r="K12" s="3">
        <f xml:space="preserve"> K10 + K11</f>
        <v>52860</v>
      </c>
      <c r="L12" s="3"/>
      <c r="M12" s="3"/>
    </row>
    <row r="13" spans="1:47" x14ac:dyDescent="0.2">
      <c r="A13" t="s">
        <v>26</v>
      </c>
      <c r="B13" s="3">
        <f xml:space="preserve"> B7-B12</f>
        <v>44328</v>
      </c>
      <c r="C13" s="3"/>
      <c r="D13" s="3">
        <f xml:space="preserve"> D7-D12</f>
        <v>35255</v>
      </c>
      <c r="E13" s="3"/>
      <c r="F13" s="3">
        <f t="shared" ref="F13:K13" si="1" xml:space="preserve"> F7-F12</f>
        <v>54243</v>
      </c>
      <c r="G13" s="3">
        <f t="shared" si="1"/>
        <v>42559</v>
      </c>
      <c r="H13" s="3">
        <f t="shared" si="1"/>
        <v>35885</v>
      </c>
      <c r="I13" s="3">
        <f t="shared" si="1"/>
        <v>38095</v>
      </c>
      <c r="J13" s="3">
        <f t="shared" si="1"/>
        <v>50332</v>
      </c>
      <c r="K13" s="3">
        <f t="shared" si="1"/>
        <v>41976</v>
      </c>
      <c r="L13" s="3"/>
      <c r="M13" s="3"/>
    </row>
    <row r="14" spans="1:47" x14ac:dyDescent="0.2">
      <c r="L14" s="3"/>
      <c r="M14" s="3"/>
    </row>
    <row r="15" spans="1:47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47" x14ac:dyDescent="0.2">
      <c r="A16" t="s">
        <v>29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7" x14ac:dyDescent="0.2">
      <c r="A17" t="s">
        <v>30</v>
      </c>
      <c r="B17" s="3">
        <v>5163</v>
      </c>
      <c r="C17" s="3"/>
      <c r="D17" s="3">
        <v>5717</v>
      </c>
      <c r="E17" s="3"/>
      <c r="F17" s="3">
        <v>6306</v>
      </c>
      <c r="G17" s="3">
        <v>6387</v>
      </c>
      <c r="H17" s="3">
        <v>6797</v>
      </c>
      <c r="I17" s="3">
        <v>6761</v>
      </c>
      <c r="J17" s="3">
        <v>7709</v>
      </c>
      <c r="K17" s="3">
        <v>7457</v>
      </c>
      <c r="L17" s="3"/>
      <c r="M17" s="3"/>
    </row>
    <row r="18" spans="1:17" x14ac:dyDescent="0.2">
      <c r="A18" t="s">
        <v>31</v>
      </c>
      <c r="B18" s="3">
        <v>5631</v>
      </c>
      <c r="C18" s="3"/>
      <c r="D18" s="3">
        <v>5412</v>
      </c>
      <c r="E18" s="3"/>
      <c r="F18" s="3">
        <v>6449</v>
      </c>
      <c r="G18" s="3">
        <v>6193</v>
      </c>
      <c r="H18" s="3">
        <v>6012</v>
      </c>
      <c r="I18" s="3">
        <v>6440</v>
      </c>
      <c r="J18" s="3">
        <v>6607</v>
      </c>
      <c r="K18" s="3">
        <v>6201</v>
      </c>
      <c r="L18" s="3"/>
      <c r="M18" s="3"/>
    </row>
    <row r="19" spans="1:17" x14ac:dyDescent="0.2">
      <c r="A19" t="s">
        <v>32</v>
      </c>
      <c r="B19" s="3">
        <f>B17+B18</f>
        <v>10794</v>
      </c>
      <c r="C19" s="3"/>
      <c r="D19" s="3">
        <f>D17+D18</f>
        <v>11129</v>
      </c>
      <c r="E19" s="3"/>
      <c r="F19" s="3">
        <f t="shared" ref="F19:K19" si="2">F17+F18</f>
        <v>12755</v>
      </c>
      <c r="G19" s="3">
        <f t="shared" si="2"/>
        <v>12580</v>
      </c>
      <c r="H19" s="3">
        <f t="shared" si="2"/>
        <v>12809</v>
      </c>
      <c r="I19" s="3">
        <f t="shared" si="2"/>
        <v>13201</v>
      </c>
      <c r="J19" s="3">
        <f t="shared" si="2"/>
        <v>14316</v>
      </c>
      <c r="K19" s="3">
        <f t="shared" si="2"/>
        <v>13658</v>
      </c>
      <c r="L19" s="3"/>
      <c r="M19" s="3"/>
    </row>
    <row r="20" spans="1:17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P20" t="s">
        <v>58</v>
      </c>
      <c r="Q20" s="6">
        <v>0.05</v>
      </c>
    </row>
    <row r="21" spans="1:17" ht="15" x14ac:dyDescent="0.25">
      <c r="A21" s="5" t="s">
        <v>33</v>
      </c>
      <c r="B21" s="4">
        <f xml:space="preserve"> B13 - B19</f>
        <v>33534</v>
      </c>
      <c r="D21" s="4">
        <f xml:space="preserve"> D13 - D19</f>
        <v>24126</v>
      </c>
      <c r="F21" s="4">
        <f t="shared" ref="F21:K21" si="3" xml:space="preserve"> F13 - F19</f>
        <v>41488</v>
      </c>
      <c r="G21" s="4">
        <f t="shared" si="3"/>
        <v>29979</v>
      </c>
      <c r="H21" s="4">
        <f t="shared" si="3"/>
        <v>23076</v>
      </c>
      <c r="I21" s="4">
        <f t="shared" si="3"/>
        <v>24894</v>
      </c>
      <c r="J21" s="4">
        <f t="shared" si="3"/>
        <v>36016</v>
      </c>
      <c r="K21" s="4">
        <f t="shared" si="3"/>
        <v>28318</v>
      </c>
      <c r="P21" t="s">
        <v>65</v>
      </c>
      <c r="Q21" s="8">
        <f>NPV(Q20,P4:AU4)</f>
        <v>2871405.7142857141</v>
      </c>
    </row>
    <row r="22" spans="1:17" x14ac:dyDescent="0.2">
      <c r="A22" t="s">
        <v>34</v>
      </c>
      <c r="B22">
        <v>45</v>
      </c>
      <c r="D22">
        <v>243</v>
      </c>
      <c r="F22">
        <v>-247</v>
      </c>
      <c r="G22">
        <v>160</v>
      </c>
      <c r="H22">
        <v>-10</v>
      </c>
      <c r="I22">
        <v>64</v>
      </c>
      <c r="J22">
        <v>-393</v>
      </c>
      <c r="K22">
        <v>64</v>
      </c>
      <c r="P22" t="s">
        <v>66</v>
      </c>
      <c r="Q22" s="8">
        <f xml:space="preserve"> Q21/15728</f>
        <v>182.56648742915272</v>
      </c>
    </row>
    <row r="23" spans="1:17" x14ac:dyDescent="0.2">
      <c r="A23" t="s">
        <v>35</v>
      </c>
      <c r="B23" s="3">
        <v>4824</v>
      </c>
      <c r="D23" s="3">
        <v>2625</v>
      </c>
      <c r="F23" s="3">
        <v>6611</v>
      </c>
      <c r="G23" s="3">
        <v>5129</v>
      </c>
      <c r="H23" s="3">
        <v>3624</v>
      </c>
      <c r="I23" s="3">
        <v>4222</v>
      </c>
      <c r="J23" s="3">
        <v>5625</v>
      </c>
      <c r="K23" s="3">
        <v>4222</v>
      </c>
      <c r="N23" s="2"/>
      <c r="P23" t="s">
        <v>67</v>
      </c>
      <c r="Q23" s="8">
        <f xml:space="preserve"> Q21 - 166333 + 149927</f>
        <v>2854999.7142857141</v>
      </c>
    </row>
    <row r="24" spans="1:17" ht="15" x14ac:dyDescent="0.25">
      <c r="A24" s="5" t="s">
        <v>36</v>
      </c>
      <c r="B24" s="4">
        <f>B21-B23 + B22</f>
        <v>28755</v>
      </c>
      <c r="D24" s="4">
        <f>D21-D23 + D22</f>
        <v>21744</v>
      </c>
      <c r="F24" s="4">
        <f>F21-F23 + F22</f>
        <v>34630</v>
      </c>
      <c r="G24" s="4">
        <f>G21-G23 +G22</f>
        <v>25010</v>
      </c>
      <c r="H24" s="4">
        <f>H21-H23</f>
        <v>19452</v>
      </c>
      <c r="I24" s="4">
        <f>I21-I23</f>
        <v>20672</v>
      </c>
      <c r="J24" s="4">
        <f>J21-J23 + J22</f>
        <v>29998</v>
      </c>
      <c r="K24" s="4">
        <f>K21-K23</f>
        <v>24096</v>
      </c>
      <c r="Q24">
        <f xml:space="preserve"> Q23/Q29</f>
        <v>181.52337959598896</v>
      </c>
    </row>
    <row r="26" spans="1:17" x14ac:dyDescent="0.2">
      <c r="A26" t="s">
        <v>28</v>
      </c>
      <c r="B26" s="3">
        <f>B13/B7</f>
        <v>0.39777815665969724</v>
      </c>
      <c r="C26" s="3"/>
      <c r="D26" s="3">
        <f>D13/D7</f>
        <v>0.43292727853230839</v>
      </c>
      <c r="E26" s="3"/>
      <c r="F26" s="3">
        <f t="shared" ref="F26:K26" si="4">F13/F7</f>
        <v>0.43763766186615033</v>
      </c>
      <c r="G26" s="3">
        <f t="shared" si="4"/>
        <v>0.43749871502292398</v>
      </c>
      <c r="H26" s="3">
        <f t="shared" si="4"/>
        <v>0.43256307332537758</v>
      </c>
      <c r="I26" s="3">
        <f t="shared" si="4"/>
        <v>0.4225922392563175</v>
      </c>
      <c r="J26" s="3">
        <f t="shared" si="4"/>
        <v>0.42962254809908323</v>
      </c>
      <c r="K26" s="3">
        <f t="shared" si="4"/>
        <v>0.44261672782487665</v>
      </c>
    </row>
    <row r="27" spans="1:17" ht="15" x14ac:dyDescent="0.25">
      <c r="A27" t="s">
        <v>62</v>
      </c>
      <c r="B27" s="7">
        <f xml:space="preserve"> B21/B7</f>
        <v>0.30091799100853384</v>
      </c>
      <c r="D27" s="7">
        <f xml:space="preserve"> D21/D7</f>
        <v>0.29626445956234498</v>
      </c>
      <c r="F27" s="7">
        <f t="shared" ref="F27:K27" si="5" xml:space="preserve"> F21/F7</f>
        <v>0.33472911371979508</v>
      </c>
      <c r="G27" s="7">
        <f t="shared" si="5"/>
        <v>0.30817862209338187</v>
      </c>
      <c r="H27" s="7">
        <f t="shared" si="5"/>
        <v>0.27816150146457891</v>
      </c>
      <c r="I27" s="7">
        <f t="shared" si="5"/>
        <v>0.27615202005635303</v>
      </c>
      <c r="J27" s="7">
        <f t="shared" si="5"/>
        <v>0.30742441572630896</v>
      </c>
      <c r="K27" s="7">
        <f t="shared" si="5"/>
        <v>0.29859968788223878</v>
      </c>
      <c r="P27" s="1" t="s">
        <v>0</v>
      </c>
    </row>
    <row r="28" spans="1:17" x14ac:dyDescent="0.2">
      <c r="A28" t="s">
        <v>37</v>
      </c>
      <c r="B28" s="3">
        <f>B24/B7</f>
        <v>0.25803354301456405</v>
      </c>
      <c r="D28" s="3">
        <f>D24/D7</f>
        <v>0.26701377802883319</v>
      </c>
      <c r="F28" s="3">
        <f t="shared" ref="F28:K28" si="6">F24/F7</f>
        <v>0.27939812013393039</v>
      </c>
      <c r="G28" s="3">
        <f t="shared" si="6"/>
        <v>0.25709821336787353</v>
      </c>
      <c r="H28" s="3">
        <f t="shared" si="6"/>
        <v>0.23447727190539905</v>
      </c>
      <c r="I28" s="3">
        <f t="shared" si="6"/>
        <v>0.22931688594058527</v>
      </c>
      <c r="J28" s="3">
        <f t="shared" si="6"/>
        <v>0.2560561312460522</v>
      </c>
      <c r="K28" s="3">
        <f t="shared" si="6"/>
        <v>0.25408072883715044</v>
      </c>
      <c r="P28" s="2" t="s">
        <v>1</v>
      </c>
      <c r="Q28" s="2">
        <v>193.59</v>
      </c>
    </row>
    <row r="29" spans="1:17" x14ac:dyDescent="0.2">
      <c r="P29" s="2" t="s">
        <v>2</v>
      </c>
      <c r="Q29" s="2">
        <v>15728</v>
      </c>
    </row>
    <row r="30" spans="1:17" x14ac:dyDescent="0.2">
      <c r="P30" s="2"/>
      <c r="Q30" s="2"/>
    </row>
    <row r="31" spans="1:17" x14ac:dyDescent="0.2">
      <c r="A31" t="s">
        <v>38</v>
      </c>
      <c r="B31" s="3" t="e">
        <f xml:space="preserve"> B24/E25</f>
        <v>#DIV/0!</v>
      </c>
      <c r="D31" s="3" t="e">
        <f xml:space="preserve"> D24/G25</f>
        <v>#DIV/0!</v>
      </c>
      <c r="F31" s="3" t="e">
        <f xml:space="preserve"> F24/I25</f>
        <v>#DIV/0!</v>
      </c>
      <c r="G31" s="3">
        <f xml:space="preserve"> G24/Q29</f>
        <v>1.5901576805696847</v>
      </c>
      <c r="H31" s="3" t="e">
        <f xml:space="preserve"> H24/N29</f>
        <v>#DIV/0!</v>
      </c>
      <c r="I31" s="3" t="e">
        <f xml:space="preserve"> I24/O29</f>
        <v>#DIV/0!</v>
      </c>
      <c r="J31" s="3">
        <f xml:space="preserve"> J24/Q29</f>
        <v>1.9072990844354019</v>
      </c>
      <c r="K31" s="3">
        <f xml:space="preserve"> K24/Q29</f>
        <v>1.5320447609359105</v>
      </c>
      <c r="P31" s="2"/>
      <c r="Q31" s="2"/>
    </row>
    <row r="32" spans="1:17" x14ac:dyDescent="0.2">
      <c r="P32" s="2"/>
      <c r="Q32" s="2"/>
    </row>
    <row r="33" spans="1:17" x14ac:dyDescent="0.2">
      <c r="P33" s="2" t="s">
        <v>3</v>
      </c>
      <c r="Q33" s="2">
        <v>3044783.52</v>
      </c>
    </row>
    <row r="34" spans="1:17" x14ac:dyDescent="0.2">
      <c r="A34" t="s">
        <v>39</v>
      </c>
      <c r="H34">
        <f xml:space="preserve"> H7/D7 - 1</f>
        <v>1.8726821720657316E-2</v>
      </c>
      <c r="I34" t="e">
        <f xml:space="preserve"> I7/E7 - 1</f>
        <v>#DIV/0!</v>
      </c>
      <c r="J34" t="e">
        <f xml:space="preserve"> J7/E7 - 1</f>
        <v>#DIV/0!</v>
      </c>
      <c r="K34">
        <f xml:space="preserve"> K7/G7 - 1</f>
        <v>-2.5103312156911084E-2</v>
      </c>
      <c r="P34" s="2" t="s">
        <v>4</v>
      </c>
      <c r="Q34" s="2">
        <f xml:space="preserve"> 24687+31185+110461</f>
        <v>166333</v>
      </c>
    </row>
    <row r="35" spans="1:17" x14ac:dyDescent="0.2">
      <c r="P35" s="2" t="s">
        <v>5</v>
      </c>
      <c r="Q35" s="2">
        <f xml:space="preserve"> 97041+52886</f>
        <v>149927</v>
      </c>
    </row>
    <row r="36" spans="1:17" x14ac:dyDescent="0.2">
      <c r="P36" s="2" t="s">
        <v>6</v>
      </c>
      <c r="Q36" s="2">
        <f xml:space="preserve"> Q33 + Q34 - Q35</f>
        <v>3061189.52</v>
      </c>
    </row>
    <row r="37" spans="1:17" x14ac:dyDescent="0.2">
      <c r="A37" t="s">
        <v>40</v>
      </c>
      <c r="P37" s="2" t="s">
        <v>7</v>
      </c>
      <c r="Q37" s="2">
        <f xml:space="preserve"> Q34 - Q35</f>
        <v>16406</v>
      </c>
    </row>
    <row r="38" spans="1:17" x14ac:dyDescent="0.2">
      <c r="A38" t="s">
        <v>4</v>
      </c>
    </row>
    <row r="39" spans="1:17" x14ac:dyDescent="0.2">
      <c r="A39" t="s">
        <v>41</v>
      </c>
    </row>
    <row r="40" spans="1:17" x14ac:dyDescent="0.2">
      <c r="A40" t="s">
        <v>42</v>
      </c>
    </row>
    <row r="41" spans="1:17" x14ac:dyDescent="0.2">
      <c r="A41" t="s">
        <v>43</v>
      </c>
    </row>
    <row r="42" spans="1:17" x14ac:dyDescent="0.2">
      <c r="A42" t="s">
        <v>44</v>
      </c>
    </row>
    <row r="43" spans="1:17" x14ac:dyDescent="0.2">
      <c r="A43" t="s">
        <v>45</v>
      </c>
    </row>
    <row r="44" spans="1:17" x14ac:dyDescent="0.2">
      <c r="A44" t="s">
        <v>46</v>
      </c>
    </row>
    <row r="45" spans="1:17" x14ac:dyDescent="0.2">
      <c r="A45" t="s">
        <v>47</v>
      </c>
    </row>
    <row r="46" spans="1:17" x14ac:dyDescent="0.2">
      <c r="A46" t="s">
        <v>48</v>
      </c>
    </row>
    <row r="48" spans="1:17" x14ac:dyDescent="0.2">
      <c r="A48" t="s">
        <v>49</v>
      </c>
    </row>
    <row r="49" spans="1:1" x14ac:dyDescent="0.2">
      <c r="A49" t="s">
        <v>50</v>
      </c>
    </row>
    <row r="50" spans="1:1" x14ac:dyDescent="0.2">
      <c r="A50" t="s">
        <v>51</v>
      </c>
    </row>
    <row r="51" spans="1:1" x14ac:dyDescent="0.2">
      <c r="A51" t="s">
        <v>5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C52D-BB8B-478F-9FBF-53F0E819C290}">
  <dimension ref="B3:K24"/>
  <sheetViews>
    <sheetView workbookViewId="0">
      <selection activeCell="E17" sqref="E17"/>
    </sheetView>
  </sheetViews>
  <sheetFormatPr defaultRowHeight="14.25" x14ac:dyDescent="0.2"/>
  <cols>
    <col min="2" max="2" width="32.625" bestFit="1" customWidth="1"/>
    <col min="3" max="3" width="11.125" bestFit="1" customWidth="1"/>
  </cols>
  <sheetData>
    <row r="3" spans="2:11" x14ac:dyDescent="0.2">
      <c r="B3" t="s">
        <v>68</v>
      </c>
    </row>
    <row r="4" spans="2:11" x14ac:dyDescent="0.2">
      <c r="B4" s="3" t="s">
        <v>20</v>
      </c>
      <c r="C4" s="3">
        <v>117154</v>
      </c>
      <c r="D4" s="3"/>
      <c r="E4" s="3"/>
      <c r="F4" s="3"/>
      <c r="G4" s="3"/>
      <c r="H4" s="3"/>
      <c r="I4" s="3"/>
      <c r="J4" s="3"/>
      <c r="K4" s="3"/>
    </row>
    <row r="5" spans="2:11" x14ac:dyDescent="0.2">
      <c r="B5" s="3"/>
      <c r="C5" s="3"/>
      <c r="D5" s="3" t="s">
        <v>73</v>
      </c>
      <c r="E5" s="3"/>
      <c r="F5" s="3"/>
      <c r="G5" s="3"/>
      <c r="H5" s="3"/>
      <c r="I5" s="3"/>
      <c r="J5" s="3"/>
      <c r="K5" s="3"/>
    </row>
    <row r="6" spans="2:11" x14ac:dyDescent="0.2">
      <c r="B6" s="3" t="s">
        <v>17</v>
      </c>
      <c r="C6" s="3">
        <f xml:space="preserve"> C4 - C12</f>
        <v>96354</v>
      </c>
      <c r="D6" s="3"/>
      <c r="E6" s="3"/>
      <c r="F6" s="3"/>
      <c r="G6" s="3"/>
      <c r="H6" s="3"/>
      <c r="I6" s="3"/>
      <c r="J6" s="3"/>
      <c r="K6" s="3"/>
    </row>
    <row r="7" spans="2:11" x14ac:dyDescent="0.2">
      <c r="B7" s="3" t="s">
        <v>69</v>
      </c>
      <c r="C7" s="3">
        <v>65775</v>
      </c>
      <c r="D7" s="9">
        <f xml:space="preserve"> C7 / C4</f>
        <v>0.56144049712344435</v>
      </c>
      <c r="E7" s="3"/>
      <c r="F7" s="3"/>
      <c r="G7" s="3"/>
      <c r="H7" s="3"/>
      <c r="I7" s="3"/>
      <c r="J7" s="3"/>
      <c r="K7" s="3"/>
    </row>
    <row r="8" spans="2:11" x14ac:dyDescent="0.2">
      <c r="B8" s="3" t="s">
        <v>70</v>
      </c>
      <c r="C8" s="3">
        <v>7735</v>
      </c>
      <c r="D8" s="9">
        <f xml:space="preserve"> C8 / C4</f>
        <v>6.6024207453437359E-2</v>
      </c>
      <c r="E8" s="3"/>
      <c r="F8" s="3"/>
      <c r="G8" s="3"/>
      <c r="H8" s="3"/>
      <c r="I8" s="3"/>
      <c r="J8" s="3"/>
      <c r="K8" s="3"/>
    </row>
    <row r="9" spans="2:11" x14ac:dyDescent="0.2">
      <c r="B9" s="3" t="s">
        <v>71</v>
      </c>
      <c r="C9" s="3">
        <v>9396</v>
      </c>
      <c r="D9" s="9">
        <f xml:space="preserve"> C9 / C6</f>
        <v>9.7515411918550343E-2</v>
      </c>
      <c r="E9" s="3"/>
      <c r="F9" s="3"/>
      <c r="G9" s="3"/>
      <c r="H9" s="3"/>
      <c r="I9" s="3"/>
      <c r="J9" s="3"/>
      <c r="K9" s="3"/>
    </row>
    <row r="10" spans="2:11" x14ac:dyDescent="0.2">
      <c r="B10" s="3" t="s">
        <v>72</v>
      </c>
      <c r="C10" s="3">
        <v>13482</v>
      </c>
      <c r="D10" s="9">
        <f xml:space="preserve"> C10 / C6</f>
        <v>0.13992153932374368</v>
      </c>
      <c r="E10" s="3"/>
      <c r="F10" s="3"/>
      <c r="G10" s="3"/>
      <c r="H10" s="3"/>
      <c r="I10" s="3"/>
      <c r="J10" s="3"/>
      <c r="K10" s="3"/>
    </row>
    <row r="11" spans="2:11" x14ac:dyDescent="0.2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2:11" x14ac:dyDescent="0.2">
      <c r="B12" s="3" t="s">
        <v>18</v>
      </c>
      <c r="C12" s="3">
        <v>20800</v>
      </c>
      <c r="D12" s="10">
        <v>0.13</v>
      </c>
      <c r="E12" s="3"/>
      <c r="F12" s="3"/>
      <c r="G12" s="3"/>
      <c r="H12" s="3"/>
      <c r="I12" s="3"/>
      <c r="J12" s="3"/>
      <c r="K12" s="3"/>
    </row>
    <row r="13" spans="2:11" x14ac:dyDescent="0.2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2:11" x14ac:dyDescent="0.2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2:11" x14ac:dyDescent="0.2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1" x14ac:dyDescent="0.2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2:11" x14ac:dyDescent="0.2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2:11" x14ac:dyDescent="0.2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2:11" x14ac:dyDescent="0.2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x14ac:dyDescent="0.2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 x14ac:dyDescent="0.2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 x14ac:dyDescent="0.2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85E9-C63E-42EF-8EA6-47BD8404974E}">
  <dimension ref="B1:G347"/>
  <sheetViews>
    <sheetView workbookViewId="0">
      <selection activeCell="L1" sqref="L1"/>
    </sheetView>
  </sheetViews>
  <sheetFormatPr defaultRowHeight="14.25" x14ac:dyDescent="0.2"/>
  <cols>
    <col min="3" max="3" width="13.5" bestFit="1" customWidth="1"/>
  </cols>
  <sheetData>
    <row r="1" spans="2:7" x14ac:dyDescent="0.2">
      <c r="C1" t="s">
        <v>58</v>
      </c>
      <c r="D1" s="6">
        <v>0.2</v>
      </c>
    </row>
    <row r="2" spans="2:7" x14ac:dyDescent="0.2">
      <c r="C2" t="s">
        <v>57</v>
      </c>
      <c r="D2">
        <f>SUM(C5:C1048576)</f>
        <v>184.99999008488453</v>
      </c>
      <c r="F2" t="s">
        <v>60</v>
      </c>
      <c r="G2">
        <f>COUNT(B5:B347)</f>
        <v>343</v>
      </c>
    </row>
    <row r="3" spans="2:7" x14ac:dyDescent="0.2">
      <c r="C3" t="s">
        <v>59</v>
      </c>
      <c r="D3">
        <f>SUM(D5:D347)</f>
        <v>3430</v>
      </c>
    </row>
    <row r="4" spans="2:7" x14ac:dyDescent="0.2">
      <c r="B4" t="s">
        <v>56</v>
      </c>
    </row>
    <row r="5" spans="2:7" x14ac:dyDescent="0.2">
      <c r="B5">
        <v>2023</v>
      </c>
      <c r="C5">
        <v>10</v>
      </c>
      <c r="D5">
        <v>10</v>
      </c>
      <c r="F5" t="s">
        <v>61</v>
      </c>
      <c r="G5" s="6">
        <f xml:space="preserve"> 1 + D1</f>
        <v>1.2</v>
      </c>
    </row>
    <row r="6" spans="2:7" x14ac:dyDescent="0.2">
      <c r="B6">
        <v>2024</v>
      </c>
      <c r="C6" s="7">
        <f>C5/G5</f>
        <v>8.3333333333333339</v>
      </c>
      <c r="D6">
        <v>10</v>
      </c>
    </row>
    <row r="7" spans="2:7" x14ac:dyDescent="0.2">
      <c r="B7">
        <v>2025</v>
      </c>
      <c r="C7" s="7">
        <f t="shared" ref="C7:C70" si="0">C6/1.05</f>
        <v>7.9365079365079367</v>
      </c>
      <c r="D7">
        <v>10</v>
      </c>
    </row>
    <row r="8" spans="2:7" x14ac:dyDescent="0.2">
      <c r="B8">
        <v>2026</v>
      </c>
      <c r="C8" s="7">
        <f t="shared" si="0"/>
        <v>7.5585789871504154</v>
      </c>
      <c r="D8">
        <v>10</v>
      </c>
    </row>
    <row r="9" spans="2:7" x14ac:dyDescent="0.2">
      <c r="B9">
        <v>2027</v>
      </c>
      <c r="C9" s="7">
        <f t="shared" si="0"/>
        <v>7.1986466544289671</v>
      </c>
      <c r="D9">
        <v>10</v>
      </c>
    </row>
    <row r="10" spans="2:7" x14ac:dyDescent="0.2">
      <c r="B10">
        <v>2028</v>
      </c>
      <c r="C10" s="7">
        <f t="shared" si="0"/>
        <v>6.8558539565990158</v>
      </c>
      <c r="D10">
        <v>10</v>
      </c>
    </row>
    <row r="11" spans="2:7" x14ac:dyDescent="0.2">
      <c r="B11">
        <v>2029</v>
      </c>
      <c r="C11" s="7">
        <f t="shared" si="0"/>
        <v>6.5293847205704907</v>
      </c>
      <c r="D11">
        <v>10</v>
      </c>
    </row>
    <row r="12" spans="2:7" x14ac:dyDescent="0.2">
      <c r="B12">
        <v>2030</v>
      </c>
      <c r="C12" s="7">
        <f t="shared" si="0"/>
        <v>6.2184616386385621</v>
      </c>
      <c r="D12">
        <v>10</v>
      </c>
    </row>
    <row r="13" spans="2:7" x14ac:dyDescent="0.2">
      <c r="B13">
        <v>2031</v>
      </c>
      <c r="C13" s="7">
        <f t="shared" si="0"/>
        <v>5.9223444177510114</v>
      </c>
      <c r="D13">
        <v>10</v>
      </c>
    </row>
    <row r="14" spans="2:7" x14ac:dyDescent="0.2">
      <c r="B14">
        <v>2032</v>
      </c>
      <c r="C14" s="7">
        <f t="shared" si="0"/>
        <v>5.6403280169057251</v>
      </c>
      <c r="D14">
        <v>10</v>
      </c>
    </row>
    <row r="15" spans="2:7" x14ac:dyDescent="0.2">
      <c r="B15">
        <v>2033</v>
      </c>
      <c r="C15" s="7">
        <f t="shared" si="0"/>
        <v>5.3717409684816424</v>
      </c>
      <c r="D15">
        <v>10</v>
      </c>
    </row>
    <row r="16" spans="2:7" x14ac:dyDescent="0.2">
      <c r="B16">
        <v>2034</v>
      </c>
      <c r="C16" s="7">
        <f t="shared" si="0"/>
        <v>5.1159437795063258</v>
      </c>
      <c r="D16">
        <v>10</v>
      </c>
    </row>
    <row r="17" spans="2:4" x14ac:dyDescent="0.2">
      <c r="B17">
        <v>2035</v>
      </c>
      <c r="C17" s="7">
        <f t="shared" si="0"/>
        <v>4.8723274090536437</v>
      </c>
      <c r="D17">
        <v>10</v>
      </c>
    </row>
    <row r="18" spans="2:4" x14ac:dyDescent="0.2">
      <c r="B18">
        <v>2036</v>
      </c>
      <c r="C18" s="7">
        <f t="shared" si="0"/>
        <v>4.6403118181463272</v>
      </c>
      <c r="D18">
        <v>10</v>
      </c>
    </row>
    <row r="19" spans="2:4" x14ac:dyDescent="0.2">
      <c r="B19">
        <v>2037</v>
      </c>
      <c r="C19" s="7">
        <f t="shared" si="0"/>
        <v>4.4193445887107874</v>
      </c>
      <c r="D19">
        <v>10</v>
      </c>
    </row>
    <row r="20" spans="2:4" x14ac:dyDescent="0.2">
      <c r="B20">
        <v>2038</v>
      </c>
      <c r="C20" s="7">
        <f t="shared" si="0"/>
        <v>4.2088996082959875</v>
      </c>
      <c r="D20">
        <v>10</v>
      </c>
    </row>
    <row r="21" spans="2:4" x14ac:dyDescent="0.2">
      <c r="B21">
        <v>2039</v>
      </c>
      <c r="C21" s="7">
        <f t="shared" si="0"/>
        <v>4.0084758174247499</v>
      </c>
      <c r="D21">
        <v>10</v>
      </c>
    </row>
    <row r="22" spans="2:4" x14ac:dyDescent="0.2">
      <c r="B22">
        <v>2040</v>
      </c>
      <c r="C22" s="7">
        <f t="shared" si="0"/>
        <v>3.8175960165949996</v>
      </c>
      <c r="D22">
        <v>10</v>
      </c>
    </row>
    <row r="23" spans="2:4" x14ac:dyDescent="0.2">
      <c r="B23">
        <v>2041</v>
      </c>
      <c r="C23" s="7">
        <f t="shared" si="0"/>
        <v>3.6358057300904756</v>
      </c>
      <c r="D23">
        <v>10</v>
      </c>
    </row>
    <row r="24" spans="2:4" x14ac:dyDescent="0.2">
      <c r="B24">
        <v>2042</v>
      </c>
      <c r="C24" s="7">
        <f t="shared" si="0"/>
        <v>3.462672123895691</v>
      </c>
      <c r="D24">
        <v>10</v>
      </c>
    </row>
    <row r="25" spans="2:4" x14ac:dyDescent="0.2">
      <c r="B25">
        <v>2043</v>
      </c>
      <c r="C25" s="7">
        <f t="shared" si="0"/>
        <v>3.2977829751387531</v>
      </c>
      <c r="D25">
        <v>10</v>
      </c>
    </row>
    <row r="26" spans="2:4" x14ac:dyDescent="0.2">
      <c r="B26">
        <v>2044</v>
      </c>
      <c r="C26" s="7">
        <f t="shared" si="0"/>
        <v>3.1407456906083362</v>
      </c>
      <c r="D26">
        <v>10</v>
      </c>
    </row>
    <row r="27" spans="2:4" x14ac:dyDescent="0.2">
      <c r="B27">
        <v>2045</v>
      </c>
      <c r="C27" s="7">
        <f t="shared" si="0"/>
        <v>2.991186372007939</v>
      </c>
      <c r="D27">
        <v>10</v>
      </c>
    </row>
    <row r="28" spans="2:4" x14ac:dyDescent="0.2">
      <c r="B28">
        <v>2046</v>
      </c>
      <c r="C28" s="7">
        <f t="shared" si="0"/>
        <v>2.8487489257218463</v>
      </c>
      <c r="D28">
        <v>10</v>
      </c>
    </row>
    <row r="29" spans="2:4" x14ac:dyDescent="0.2">
      <c r="B29">
        <v>2047</v>
      </c>
      <c r="C29" s="7">
        <f t="shared" si="0"/>
        <v>2.7130942149731867</v>
      </c>
      <c r="D29">
        <v>10</v>
      </c>
    </row>
    <row r="30" spans="2:4" x14ac:dyDescent="0.2">
      <c r="B30">
        <v>2048</v>
      </c>
      <c r="C30" s="7">
        <f t="shared" si="0"/>
        <v>2.5838992523554158</v>
      </c>
      <c r="D30">
        <v>10</v>
      </c>
    </row>
    <row r="31" spans="2:4" x14ac:dyDescent="0.2">
      <c r="B31">
        <v>2049</v>
      </c>
      <c r="C31" s="7">
        <f t="shared" si="0"/>
        <v>2.4608564308146819</v>
      </c>
      <c r="D31">
        <v>10</v>
      </c>
    </row>
    <row r="32" spans="2:4" x14ac:dyDescent="0.2">
      <c r="B32">
        <v>2050</v>
      </c>
      <c r="C32" s="7">
        <f t="shared" si="0"/>
        <v>2.3436727912520778</v>
      </c>
      <c r="D32">
        <v>10</v>
      </c>
    </row>
    <row r="33" spans="2:4" x14ac:dyDescent="0.2">
      <c r="B33">
        <v>2051</v>
      </c>
      <c r="C33" s="7">
        <f t="shared" si="0"/>
        <v>2.2320693250019787</v>
      </c>
      <c r="D33">
        <v>10</v>
      </c>
    </row>
    <row r="34" spans="2:4" x14ac:dyDescent="0.2">
      <c r="B34">
        <v>2052</v>
      </c>
      <c r="C34" s="7">
        <f t="shared" si="0"/>
        <v>2.1257803095256937</v>
      </c>
      <c r="D34">
        <v>10</v>
      </c>
    </row>
    <row r="35" spans="2:4" x14ac:dyDescent="0.2">
      <c r="B35">
        <v>2053</v>
      </c>
      <c r="C35" s="7">
        <f t="shared" si="0"/>
        <v>2.024552675738756</v>
      </c>
      <c r="D35">
        <v>10</v>
      </c>
    </row>
    <row r="36" spans="2:4" x14ac:dyDescent="0.2">
      <c r="B36">
        <v>2054</v>
      </c>
      <c r="C36" s="7">
        <f t="shared" si="0"/>
        <v>1.9281454054654819</v>
      </c>
      <c r="D36">
        <v>10</v>
      </c>
    </row>
    <row r="37" spans="2:4" x14ac:dyDescent="0.2">
      <c r="B37">
        <v>2055</v>
      </c>
      <c r="C37" s="7">
        <f t="shared" si="0"/>
        <v>1.8363289575861732</v>
      </c>
      <c r="D37">
        <v>10</v>
      </c>
    </row>
    <row r="38" spans="2:4" x14ac:dyDescent="0.2">
      <c r="B38">
        <v>2056</v>
      </c>
      <c r="C38" s="7">
        <f t="shared" si="0"/>
        <v>1.7488847215106411</v>
      </c>
      <c r="D38">
        <v>10</v>
      </c>
    </row>
    <row r="39" spans="2:4" x14ac:dyDescent="0.2">
      <c r="B39">
        <v>2057</v>
      </c>
      <c r="C39" s="7">
        <f t="shared" si="0"/>
        <v>1.6656044966768009</v>
      </c>
      <c r="D39">
        <v>10</v>
      </c>
    </row>
    <row r="40" spans="2:4" x14ac:dyDescent="0.2">
      <c r="B40">
        <v>2058</v>
      </c>
      <c r="C40" s="7">
        <f t="shared" si="0"/>
        <v>1.5862899968350483</v>
      </c>
      <c r="D40">
        <v>10</v>
      </c>
    </row>
    <row r="41" spans="2:4" x14ac:dyDescent="0.2">
      <c r="B41">
        <v>2059</v>
      </c>
      <c r="C41" s="7">
        <f t="shared" si="0"/>
        <v>1.5107523779381413</v>
      </c>
      <c r="D41">
        <v>10</v>
      </c>
    </row>
    <row r="42" spans="2:4" x14ac:dyDescent="0.2">
      <c r="B42">
        <v>2060</v>
      </c>
      <c r="C42" s="7">
        <f t="shared" si="0"/>
        <v>1.4388117885125156</v>
      </c>
      <c r="D42">
        <v>10</v>
      </c>
    </row>
    <row r="43" spans="2:4" x14ac:dyDescent="0.2">
      <c r="B43">
        <v>2061</v>
      </c>
      <c r="C43" s="7">
        <f t="shared" si="0"/>
        <v>1.3702969414404909</v>
      </c>
      <c r="D43">
        <v>10</v>
      </c>
    </row>
    <row r="44" spans="2:4" x14ac:dyDescent="0.2">
      <c r="B44">
        <v>2062</v>
      </c>
      <c r="C44" s="7">
        <f t="shared" si="0"/>
        <v>1.3050447061338009</v>
      </c>
      <c r="D44">
        <v>10</v>
      </c>
    </row>
    <row r="45" spans="2:4" x14ac:dyDescent="0.2">
      <c r="B45">
        <v>2063</v>
      </c>
      <c r="C45" s="7">
        <f t="shared" si="0"/>
        <v>1.2428997201274294</v>
      </c>
      <c r="D45">
        <v>10</v>
      </c>
    </row>
    <row r="46" spans="2:4" x14ac:dyDescent="0.2">
      <c r="B46">
        <v>2064</v>
      </c>
      <c r="C46" s="7">
        <f t="shared" si="0"/>
        <v>1.1837140191689803</v>
      </c>
      <c r="D46">
        <v>10</v>
      </c>
    </row>
    <row r="47" spans="2:4" x14ac:dyDescent="0.2">
      <c r="B47">
        <v>2065</v>
      </c>
      <c r="C47" s="7">
        <f t="shared" si="0"/>
        <v>1.1273466849228384</v>
      </c>
      <c r="D47">
        <v>10</v>
      </c>
    </row>
    <row r="48" spans="2:4" x14ac:dyDescent="0.2">
      <c r="B48">
        <v>2066</v>
      </c>
      <c r="C48" s="7">
        <f t="shared" si="0"/>
        <v>1.0736635094503222</v>
      </c>
      <c r="D48">
        <v>10</v>
      </c>
    </row>
    <row r="49" spans="2:4" x14ac:dyDescent="0.2">
      <c r="B49">
        <v>2067</v>
      </c>
      <c r="C49" s="7">
        <f t="shared" si="0"/>
        <v>1.0225366756669734</v>
      </c>
      <c r="D49">
        <v>10</v>
      </c>
    </row>
    <row r="50" spans="2:4" x14ac:dyDescent="0.2">
      <c r="B50">
        <v>2068</v>
      </c>
      <c r="C50" s="7">
        <f t="shared" si="0"/>
        <v>0.97384445301616507</v>
      </c>
      <c r="D50">
        <v>10</v>
      </c>
    </row>
    <row r="51" spans="2:4" x14ac:dyDescent="0.2">
      <c r="B51">
        <v>2069</v>
      </c>
      <c r="C51" s="7">
        <f t="shared" si="0"/>
        <v>0.92747090763444284</v>
      </c>
      <c r="D51">
        <v>10</v>
      </c>
    </row>
    <row r="52" spans="2:4" x14ac:dyDescent="0.2">
      <c r="B52">
        <v>2070</v>
      </c>
      <c r="C52" s="7">
        <f t="shared" si="0"/>
        <v>0.88330562631851695</v>
      </c>
      <c r="D52">
        <v>10</v>
      </c>
    </row>
    <row r="53" spans="2:4" x14ac:dyDescent="0.2">
      <c r="B53">
        <v>2071</v>
      </c>
      <c r="C53" s="7">
        <f t="shared" si="0"/>
        <v>0.84124345363668274</v>
      </c>
      <c r="D53">
        <v>10</v>
      </c>
    </row>
    <row r="54" spans="2:4" x14ac:dyDescent="0.2">
      <c r="B54">
        <v>2072</v>
      </c>
      <c r="C54" s="7">
        <f t="shared" si="0"/>
        <v>0.80118424155874546</v>
      </c>
      <c r="D54">
        <v>10</v>
      </c>
    </row>
    <row r="55" spans="2:4" x14ac:dyDescent="0.2">
      <c r="B55">
        <v>2073</v>
      </c>
      <c r="C55" s="7">
        <f t="shared" si="0"/>
        <v>0.76303261100832898</v>
      </c>
      <c r="D55">
        <v>10</v>
      </c>
    </row>
    <row r="56" spans="2:4" x14ac:dyDescent="0.2">
      <c r="B56">
        <v>2074</v>
      </c>
      <c r="C56" s="7">
        <f t="shared" si="0"/>
        <v>0.72669772476983707</v>
      </c>
      <c r="D56">
        <v>10</v>
      </c>
    </row>
    <row r="57" spans="2:4" x14ac:dyDescent="0.2">
      <c r="B57">
        <v>2075</v>
      </c>
      <c r="C57" s="7">
        <f t="shared" si="0"/>
        <v>0.69209307120936858</v>
      </c>
      <c r="D57">
        <v>10</v>
      </c>
    </row>
    <row r="58" spans="2:4" x14ac:dyDescent="0.2">
      <c r="B58">
        <v>2076</v>
      </c>
      <c r="C58" s="7">
        <f t="shared" si="0"/>
        <v>0.65913625829463673</v>
      </c>
      <c r="D58">
        <v>10</v>
      </c>
    </row>
    <row r="59" spans="2:4" x14ac:dyDescent="0.2">
      <c r="B59">
        <v>2077</v>
      </c>
      <c r="C59" s="7">
        <f t="shared" si="0"/>
        <v>0.62774881742346356</v>
      </c>
      <c r="D59">
        <v>10</v>
      </c>
    </row>
    <row r="60" spans="2:4" x14ac:dyDescent="0.2">
      <c r="B60">
        <v>2078</v>
      </c>
      <c r="C60" s="7">
        <f t="shared" si="0"/>
        <v>0.59785601659377474</v>
      </c>
      <c r="D60">
        <v>10</v>
      </c>
    </row>
    <row r="61" spans="2:4" x14ac:dyDescent="0.2">
      <c r="B61">
        <v>2079</v>
      </c>
      <c r="C61" s="7">
        <f t="shared" si="0"/>
        <v>0.56938668247026158</v>
      </c>
      <c r="D61">
        <v>10</v>
      </c>
    </row>
    <row r="62" spans="2:4" x14ac:dyDescent="0.2">
      <c r="B62">
        <v>2080</v>
      </c>
      <c r="C62" s="7">
        <f t="shared" si="0"/>
        <v>0.54227303092405865</v>
      </c>
      <c r="D62">
        <v>10</v>
      </c>
    </row>
    <row r="63" spans="2:4" x14ac:dyDescent="0.2">
      <c r="B63">
        <v>2081</v>
      </c>
      <c r="C63" s="7">
        <f t="shared" si="0"/>
        <v>0.5164505056419606</v>
      </c>
      <c r="D63">
        <v>10</v>
      </c>
    </row>
    <row r="64" spans="2:4" x14ac:dyDescent="0.2">
      <c r="B64">
        <v>2082</v>
      </c>
      <c r="C64" s="7">
        <f t="shared" si="0"/>
        <v>0.49185762442091485</v>
      </c>
      <c r="D64">
        <v>10</v>
      </c>
    </row>
    <row r="65" spans="2:4" x14ac:dyDescent="0.2">
      <c r="B65">
        <v>2083</v>
      </c>
      <c r="C65" s="7">
        <f t="shared" si="0"/>
        <v>0.46843583278182366</v>
      </c>
      <c r="D65">
        <v>10</v>
      </c>
    </row>
    <row r="66" spans="2:4" x14ac:dyDescent="0.2">
      <c r="B66">
        <v>2084</v>
      </c>
      <c r="C66" s="7">
        <f t="shared" si="0"/>
        <v>0.44612936455411772</v>
      </c>
      <c r="D66">
        <v>10</v>
      </c>
    </row>
    <row r="67" spans="2:4" x14ac:dyDescent="0.2">
      <c r="B67">
        <v>2085</v>
      </c>
      <c r="C67" s="7">
        <f t="shared" si="0"/>
        <v>0.42488510909915972</v>
      </c>
      <c r="D67">
        <v>10</v>
      </c>
    </row>
    <row r="68" spans="2:4" x14ac:dyDescent="0.2">
      <c r="B68">
        <v>2086</v>
      </c>
      <c r="C68" s="7">
        <f t="shared" si="0"/>
        <v>0.40465248485634259</v>
      </c>
      <c r="D68">
        <v>10</v>
      </c>
    </row>
    <row r="69" spans="2:4" x14ac:dyDescent="0.2">
      <c r="B69">
        <v>2087</v>
      </c>
      <c r="C69" s="7">
        <f t="shared" si="0"/>
        <v>0.38538331891080246</v>
      </c>
      <c r="D69">
        <v>10</v>
      </c>
    </row>
    <row r="70" spans="2:4" x14ac:dyDescent="0.2">
      <c r="B70">
        <v>2088</v>
      </c>
      <c r="C70" s="7">
        <f t="shared" si="0"/>
        <v>0.36703173229600233</v>
      </c>
      <c r="D70">
        <v>10</v>
      </c>
    </row>
    <row r="71" spans="2:4" x14ac:dyDescent="0.2">
      <c r="B71">
        <v>2089</v>
      </c>
      <c r="C71" s="7">
        <f t="shared" ref="C71:C134" si="1">C70/1.05</f>
        <v>0.34955403075809743</v>
      </c>
      <c r="D71">
        <v>10</v>
      </c>
    </row>
    <row r="72" spans="2:4" x14ac:dyDescent="0.2">
      <c r="B72">
        <v>2090</v>
      </c>
      <c r="C72" s="7">
        <f t="shared" si="1"/>
        <v>0.33290860072199752</v>
      </c>
      <c r="D72">
        <v>10</v>
      </c>
    </row>
    <row r="73" spans="2:4" x14ac:dyDescent="0.2">
      <c r="B73">
        <v>2091</v>
      </c>
      <c r="C73" s="7">
        <f t="shared" si="1"/>
        <v>0.3170558102114262</v>
      </c>
      <c r="D73">
        <v>10</v>
      </c>
    </row>
    <row r="74" spans="2:4" x14ac:dyDescent="0.2">
      <c r="B74">
        <v>2092</v>
      </c>
      <c r="C74" s="7">
        <f t="shared" si="1"/>
        <v>0.30195791448707254</v>
      </c>
      <c r="D74">
        <v>10</v>
      </c>
    </row>
    <row r="75" spans="2:4" x14ac:dyDescent="0.2">
      <c r="B75">
        <v>2093</v>
      </c>
      <c r="C75" s="7">
        <f t="shared" si="1"/>
        <v>0.28757896617816431</v>
      </c>
      <c r="D75">
        <v>10</v>
      </c>
    </row>
    <row r="76" spans="2:4" x14ac:dyDescent="0.2">
      <c r="B76">
        <v>2094</v>
      </c>
      <c r="C76" s="7">
        <f t="shared" si="1"/>
        <v>0.27388472969348981</v>
      </c>
      <c r="D76">
        <v>10</v>
      </c>
    </row>
    <row r="77" spans="2:4" x14ac:dyDescent="0.2">
      <c r="B77">
        <v>2095</v>
      </c>
      <c r="C77" s="7">
        <f t="shared" si="1"/>
        <v>0.26084259970808554</v>
      </c>
      <c r="D77">
        <v>10</v>
      </c>
    </row>
    <row r="78" spans="2:4" x14ac:dyDescent="0.2">
      <c r="B78">
        <v>2096</v>
      </c>
      <c r="C78" s="7">
        <f t="shared" si="1"/>
        <v>0.24842152353151004</v>
      </c>
      <c r="D78">
        <v>10</v>
      </c>
    </row>
    <row r="79" spans="2:4" x14ac:dyDescent="0.2">
      <c r="B79">
        <v>2097</v>
      </c>
      <c r="C79" s="7">
        <f t="shared" si="1"/>
        <v>0.2365919271728667</v>
      </c>
      <c r="D79">
        <v>10</v>
      </c>
    </row>
    <row r="80" spans="2:4" x14ac:dyDescent="0.2">
      <c r="B80">
        <v>2098</v>
      </c>
      <c r="C80" s="7">
        <f t="shared" si="1"/>
        <v>0.2253256449265397</v>
      </c>
      <c r="D80">
        <v>10</v>
      </c>
    </row>
    <row r="81" spans="2:4" x14ac:dyDescent="0.2">
      <c r="B81">
        <v>2099</v>
      </c>
      <c r="C81" s="7">
        <f t="shared" si="1"/>
        <v>0.21459585231099018</v>
      </c>
      <c r="D81">
        <v>10</v>
      </c>
    </row>
    <row r="82" spans="2:4" x14ac:dyDescent="0.2">
      <c r="B82">
        <v>2100</v>
      </c>
      <c r="C82" s="7">
        <f t="shared" si="1"/>
        <v>0.20437700220094301</v>
      </c>
      <c r="D82">
        <v>10</v>
      </c>
    </row>
    <row r="83" spans="2:4" x14ac:dyDescent="0.2">
      <c r="B83">
        <v>2101</v>
      </c>
      <c r="C83" s="7">
        <f t="shared" si="1"/>
        <v>0.19464476400089811</v>
      </c>
      <c r="D83">
        <v>10</v>
      </c>
    </row>
    <row r="84" spans="2:4" x14ac:dyDescent="0.2">
      <c r="B84">
        <v>2102</v>
      </c>
      <c r="C84" s="7">
        <f t="shared" si="1"/>
        <v>0.18537596571514106</v>
      </c>
      <c r="D84">
        <v>10</v>
      </c>
    </row>
    <row r="85" spans="2:4" x14ac:dyDescent="0.2">
      <c r="B85">
        <v>2103</v>
      </c>
      <c r="C85" s="7">
        <f t="shared" si="1"/>
        <v>0.17654853877632481</v>
      </c>
      <c r="D85">
        <v>10</v>
      </c>
    </row>
    <row r="86" spans="2:4" x14ac:dyDescent="0.2">
      <c r="B86">
        <v>2104</v>
      </c>
      <c r="C86" s="7">
        <f t="shared" si="1"/>
        <v>0.16814146550126172</v>
      </c>
      <c r="D86">
        <v>10</v>
      </c>
    </row>
    <row r="87" spans="2:4" x14ac:dyDescent="0.2">
      <c r="B87">
        <v>2105</v>
      </c>
      <c r="C87" s="7">
        <f t="shared" si="1"/>
        <v>0.16013472904882067</v>
      </c>
      <c r="D87">
        <v>10</v>
      </c>
    </row>
    <row r="88" spans="2:4" x14ac:dyDescent="0.2">
      <c r="B88">
        <v>2106</v>
      </c>
      <c r="C88" s="7">
        <f t="shared" si="1"/>
        <v>0.15250926576078158</v>
      </c>
      <c r="D88">
        <v>10</v>
      </c>
    </row>
    <row r="89" spans="2:4" x14ac:dyDescent="0.2">
      <c r="B89">
        <v>2107</v>
      </c>
      <c r="C89" s="7">
        <f t="shared" si="1"/>
        <v>0.14524691977217294</v>
      </c>
      <c r="D89">
        <v>10</v>
      </c>
    </row>
    <row r="90" spans="2:4" x14ac:dyDescent="0.2">
      <c r="B90">
        <v>2108</v>
      </c>
      <c r="C90" s="7">
        <f t="shared" si="1"/>
        <v>0.13833039978302183</v>
      </c>
      <c r="D90">
        <v>10</v>
      </c>
    </row>
    <row r="91" spans="2:4" x14ac:dyDescent="0.2">
      <c r="B91">
        <v>2109</v>
      </c>
      <c r="C91" s="7">
        <f t="shared" si="1"/>
        <v>0.13174323788859221</v>
      </c>
      <c r="D91">
        <v>10</v>
      </c>
    </row>
    <row r="92" spans="2:4" x14ac:dyDescent="0.2">
      <c r="B92">
        <v>2110</v>
      </c>
      <c r="C92" s="7">
        <f t="shared" si="1"/>
        <v>0.12546975037008781</v>
      </c>
      <c r="D92">
        <v>10</v>
      </c>
    </row>
    <row r="93" spans="2:4" x14ac:dyDescent="0.2">
      <c r="B93">
        <v>2111</v>
      </c>
      <c r="C93" s="7">
        <f t="shared" si="1"/>
        <v>0.11949500035246458</v>
      </c>
      <c r="D93">
        <v>10</v>
      </c>
    </row>
    <row r="94" spans="2:4" x14ac:dyDescent="0.2">
      <c r="B94">
        <v>2112</v>
      </c>
      <c r="C94" s="7">
        <f t="shared" si="1"/>
        <v>0.11380476224044245</v>
      </c>
      <c r="D94">
        <v>10</v>
      </c>
    </row>
    <row r="95" spans="2:4" x14ac:dyDescent="0.2">
      <c r="B95">
        <v>2113</v>
      </c>
      <c r="C95" s="7">
        <f t="shared" si="1"/>
        <v>0.10838548784804042</v>
      </c>
      <c r="D95">
        <v>10</v>
      </c>
    </row>
    <row r="96" spans="2:4" x14ac:dyDescent="0.2">
      <c r="B96">
        <v>2114</v>
      </c>
      <c r="C96" s="7">
        <f t="shared" si="1"/>
        <v>0.10322427414099088</v>
      </c>
      <c r="D96">
        <v>10</v>
      </c>
    </row>
    <row r="97" spans="2:4" x14ac:dyDescent="0.2">
      <c r="B97">
        <v>2115</v>
      </c>
      <c r="C97" s="7">
        <f t="shared" si="1"/>
        <v>9.83088325152294E-2</v>
      </c>
      <c r="D97">
        <v>10</v>
      </c>
    </row>
    <row r="98" spans="2:4" x14ac:dyDescent="0.2">
      <c r="B98">
        <v>2116</v>
      </c>
      <c r="C98" s="7">
        <f t="shared" si="1"/>
        <v>9.3627459538313709E-2</v>
      </c>
      <c r="D98">
        <v>10</v>
      </c>
    </row>
    <row r="99" spans="2:4" x14ac:dyDescent="0.2">
      <c r="B99">
        <v>2117</v>
      </c>
      <c r="C99" s="7">
        <f t="shared" si="1"/>
        <v>8.9169009084108297E-2</v>
      </c>
      <c r="D99">
        <v>10</v>
      </c>
    </row>
    <row r="100" spans="2:4" x14ac:dyDescent="0.2">
      <c r="B100">
        <v>2118</v>
      </c>
      <c r="C100" s="7">
        <f t="shared" si="1"/>
        <v>8.4922865794388847E-2</v>
      </c>
      <c r="D100">
        <v>10</v>
      </c>
    </row>
    <row r="101" spans="2:4" x14ac:dyDescent="0.2">
      <c r="B101">
        <v>2119</v>
      </c>
      <c r="C101" s="7">
        <f t="shared" si="1"/>
        <v>8.0878919804179855E-2</v>
      </c>
      <c r="D101">
        <v>10</v>
      </c>
    </row>
    <row r="102" spans="2:4" x14ac:dyDescent="0.2">
      <c r="B102">
        <v>2120</v>
      </c>
      <c r="C102" s="7">
        <f t="shared" si="1"/>
        <v>7.7027542670647473E-2</v>
      </c>
      <c r="D102">
        <v>10</v>
      </c>
    </row>
    <row r="103" spans="2:4" x14ac:dyDescent="0.2">
      <c r="B103">
        <v>2121</v>
      </c>
      <c r="C103" s="7">
        <f t="shared" si="1"/>
        <v>7.3359564448235687E-2</v>
      </c>
      <c r="D103">
        <v>10</v>
      </c>
    </row>
    <row r="104" spans="2:4" x14ac:dyDescent="0.2">
      <c r="B104">
        <v>2122</v>
      </c>
      <c r="C104" s="7">
        <f t="shared" si="1"/>
        <v>6.9866251855462552E-2</v>
      </c>
      <c r="D104">
        <v>10</v>
      </c>
    </row>
    <row r="105" spans="2:4" x14ac:dyDescent="0.2">
      <c r="B105">
        <v>2123</v>
      </c>
      <c r="C105" s="7">
        <f t="shared" si="1"/>
        <v>6.65392874813929E-2</v>
      </c>
      <c r="D105">
        <v>10</v>
      </c>
    </row>
    <row r="106" spans="2:4" x14ac:dyDescent="0.2">
      <c r="B106">
        <v>2124</v>
      </c>
      <c r="C106" s="7">
        <f t="shared" si="1"/>
        <v>6.3370749982278957E-2</v>
      </c>
      <c r="D106">
        <v>10</v>
      </c>
    </row>
    <row r="107" spans="2:4" x14ac:dyDescent="0.2">
      <c r="B107">
        <v>2125</v>
      </c>
      <c r="C107" s="7">
        <f t="shared" si="1"/>
        <v>6.0353095221218053E-2</v>
      </c>
      <c r="D107">
        <v>10</v>
      </c>
    </row>
    <row r="108" spans="2:4" x14ac:dyDescent="0.2">
      <c r="B108">
        <v>2126</v>
      </c>
      <c r="C108" s="7">
        <f t="shared" si="1"/>
        <v>5.7479138305921954E-2</v>
      </c>
      <c r="D108">
        <v>10</v>
      </c>
    </row>
    <row r="109" spans="2:4" x14ac:dyDescent="0.2">
      <c r="B109">
        <v>2127</v>
      </c>
      <c r="C109" s="7">
        <f t="shared" si="1"/>
        <v>5.4742036481830431E-2</v>
      </c>
      <c r="D109">
        <v>10</v>
      </c>
    </row>
    <row r="110" spans="2:4" x14ac:dyDescent="0.2">
      <c r="B110">
        <v>2128</v>
      </c>
      <c r="C110" s="7">
        <f t="shared" si="1"/>
        <v>5.2135272839838501E-2</v>
      </c>
      <c r="D110">
        <v>10</v>
      </c>
    </row>
    <row r="111" spans="2:4" x14ac:dyDescent="0.2">
      <c r="B111">
        <v>2129</v>
      </c>
      <c r="C111" s="7">
        <f t="shared" si="1"/>
        <v>4.9652640799846187E-2</v>
      </c>
      <c r="D111">
        <v>10</v>
      </c>
    </row>
    <row r="112" spans="2:4" x14ac:dyDescent="0.2">
      <c r="B112">
        <v>2130</v>
      </c>
      <c r="C112" s="7">
        <f t="shared" si="1"/>
        <v>4.728822933318684E-2</v>
      </c>
      <c r="D112">
        <v>10</v>
      </c>
    </row>
    <row r="113" spans="2:4" x14ac:dyDescent="0.2">
      <c r="B113">
        <v>2131</v>
      </c>
      <c r="C113" s="7">
        <f t="shared" si="1"/>
        <v>4.5036408888749373E-2</v>
      </c>
      <c r="D113">
        <v>10</v>
      </c>
    </row>
    <row r="114" spans="2:4" x14ac:dyDescent="0.2">
      <c r="B114">
        <v>2132</v>
      </c>
      <c r="C114" s="7">
        <f t="shared" si="1"/>
        <v>4.2891817989285118E-2</v>
      </c>
      <c r="D114">
        <v>10</v>
      </c>
    </row>
    <row r="115" spans="2:4" x14ac:dyDescent="0.2">
      <c r="B115">
        <v>2133</v>
      </c>
      <c r="C115" s="7">
        <f t="shared" si="1"/>
        <v>4.0849350465985826E-2</v>
      </c>
      <c r="D115">
        <v>10</v>
      </c>
    </row>
    <row r="116" spans="2:4" x14ac:dyDescent="0.2">
      <c r="B116">
        <v>2134</v>
      </c>
      <c r="C116" s="7">
        <f t="shared" si="1"/>
        <v>3.890414330093888E-2</v>
      </c>
      <c r="D116">
        <v>10</v>
      </c>
    </row>
    <row r="117" spans="2:4" x14ac:dyDescent="0.2">
      <c r="B117">
        <v>2135</v>
      </c>
      <c r="C117" s="7">
        <f t="shared" si="1"/>
        <v>3.7051565048513216E-2</v>
      </c>
      <c r="D117">
        <v>10</v>
      </c>
    </row>
    <row r="118" spans="2:4" x14ac:dyDescent="0.2">
      <c r="B118">
        <v>2136</v>
      </c>
      <c r="C118" s="7">
        <f t="shared" si="1"/>
        <v>3.5287204808107826E-2</v>
      </c>
      <c r="D118">
        <v>10</v>
      </c>
    </row>
    <row r="119" spans="2:4" x14ac:dyDescent="0.2">
      <c r="B119">
        <v>2137</v>
      </c>
      <c r="C119" s="7">
        <f t="shared" si="1"/>
        <v>3.3606861722007456E-2</v>
      </c>
      <c r="D119">
        <v>10</v>
      </c>
    </row>
    <row r="120" spans="2:4" x14ac:dyDescent="0.2">
      <c r="B120">
        <v>2138</v>
      </c>
      <c r="C120" s="7">
        <f t="shared" si="1"/>
        <v>3.2006534973340432E-2</v>
      </c>
      <c r="D120">
        <v>10</v>
      </c>
    </row>
    <row r="121" spans="2:4" x14ac:dyDescent="0.2">
      <c r="B121">
        <v>2139</v>
      </c>
      <c r="C121" s="7">
        <f t="shared" si="1"/>
        <v>3.048241426032422E-2</v>
      </c>
      <c r="D121">
        <v>10</v>
      </c>
    </row>
    <row r="122" spans="2:4" x14ac:dyDescent="0.2">
      <c r="B122">
        <v>2140</v>
      </c>
      <c r="C122" s="7">
        <f t="shared" si="1"/>
        <v>2.9030870724118304E-2</v>
      </c>
      <c r="D122">
        <v>10</v>
      </c>
    </row>
    <row r="123" spans="2:4" x14ac:dyDescent="0.2">
      <c r="B123">
        <v>2141</v>
      </c>
      <c r="C123" s="7">
        <f t="shared" si="1"/>
        <v>2.7648448308684098E-2</v>
      </c>
      <c r="D123">
        <v>10</v>
      </c>
    </row>
    <row r="124" spans="2:4" x14ac:dyDescent="0.2">
      <c r="B124">
        <v>2142</v>
      </c>
      <c r="C124" s="7">
        <f t="shared" si="1"/>
        <v>2.6331855532080093E-2</v>
      </c>
      <c r="D124">
        <v>10</v>
      </c>
    </row>
    <row r="125" spans="2:4" x14ac:dyDescent="0.2">
      <c r="B125">
        <v>2143</v>
      </c>
      <c r="C125" s="7">
        <f t="shared" si="1"/>
        <v>2.5077957649600087E-2</v>
      </c>
      <c r="D125">
        <v>10</v>
      </c>
    </row>
    <row r="126" spans="2:4" x14ac:dyDescent="0.2">
      <c r="B126">
        <v>2144</v>
      </c>
      <c r="C126" s="7">
        <f t="shared" si="1"/>
        <v>2.3883769190095321E-2</v>
      </c>
      <c r="D126">
        <v>10</v>
      </c>
    </row>
    <row r="127" spans="2:4" x14ac:dyDescent="0.2">
      <c r="B127">
        <v>2145</v>
      </c>
      <c r="C127" s="7">
        <f t="shared" si="1"/>
        <v>2.2746446847709829E-2</v>
      </c>
      <c r="D127">
        <v>10</v>
      </c>
    </row>
    <row r="128" spans="2:4" x14ac:dyDescent="0.2">
      <c r="B128">
        <v>2146</v>
      </c>
      <c r="C128" s="7">
        <f t="shared" si="1"/>
        <v>2.16632827121046E-2</v>
      </c>
      <c r="D128">
        <v>10</v>
      </c>
    </row>
    <row r="129" spans="2:4" x14ac:dyDescent="0.2">
      <c r="B129">
        <v>2147</v>
      </c>
      <c r="C129" s="7">
        <f t="shared" si="1"/>
        <v>2.0631697821051998E-2</v>
      </c>
      <c r="D129">
        <v>10</v>
      </c>
    </row>
    <row r="130" spans="2:4" x14ac:dyDescent="0.2">
      <c r="B130">
        <v>2148</v>
      </c>
      <c r="C130" s="7">
        <f t="shared" si="1"/>
        <v>1.9649236020049522E-2</v>
      </c>
      <c r="D130">
        <v>10</v>
      </c>
    </row>
    <row r="131" spans="2:4" x14ac:dyDescent="0.2">
      <c r="B131">
        <v>2149</v>
      </c>
      <c r="C131" s="7">
        <f t="shared" si="1"/>
        <v>1.8713558114332878E-2</v>
      </c>
      <c r="D131">
        <v>10</v>
      </c>
    </row>
    <row r="132" spans="2:4" x14ac:dyDescent="0.2">
      <c r="B132">
        <v>2150</v>
      </c>
      <c r="C132" s="7">
        <f t="shared" si="1"/>
        <v>1.7822436299364645E-2</v>
      </c>
      <c r="D132">
        <v>10</v>
      </c>
    </row>
    <row r="133" spans="2:4" x14ac:dyDescent="0.2">
      <c r="B133">
        <v>2151</v>
      </c>
      <c r="C133" s="7">
        <f t="shared" si="1"/>
        <v>1.6973748856537758E-2</v>
      </c>
      <c r="D133">
        <v>10</v>
      </c>
    </row>
    <row r="134" spans="2:4" x14ac:dyDescent="0.2">
      <c r="B134">
        <v>2152</v>
      </c>
      <c r="C134" s="7">
        <f t="shared" si="1"/>
        <v>1.616547510146453E-2</v>
      </c>
      <c r="D134">
        <v>10</v>
      </c>
    </row>
    <row r="135" spans="2:4" x14ac:dyDescent="0.2">
      <c r="B135">
        <v>2153</v>
      </c>
      <c r="C135" s="7">
        <f t="shared" ref="C135:C198" si="2">C134/1.05</f>
        <v>1.5395690572823362E-2</v>
      </c>
      <c r="D135">
        <v>10</v>
      </c>
    </row>
    <row r="136" spans="2:4" x14ac:dyDescent="0.2">
      <c r="B136">
        <v>2154</v>
      </c>
      <c r="C136" s="7">
        <f t="shared" si="2"/>
        <v>1.4662562450307963E-2</v>
      </c>
      <c r="D136">
        <v>10</v>
      </c>
    </row>
    <row r="137" spans="2:4" x14ac:dyDescent="0.2">
      <c r="B137">
        <v>2155</v>
      </c>
      <c r="C137" s="7">
        <f t="shared" si="2"/>
        <v>1.3964345190769488E-2</v>
      </c>
      <c r="D137">
        <v>10</v>
      </c>
    </row>
    <row r="138" spans="2:4" x14ac:dyDescent="0.2">
      <c r="B138">
        <v>2156</v>
      </c>
      <c r="C138" s="7">
        <f t="shared" si="2"/>
        <v>1.3299376372161416E-2</v>
      </c>
      <c r="D138">
        <v>10</v>
      </c>
    </row>
    <row r="139" spans="2:4" x14ac:dyDescent="0.2">
      <c r="B139">
        <v>2157</v>
      </c>
      <c r="C139" s="7">
        <f t="shared" si="2"/>
        <v>1.2666072735391824E-2</v>
      </c>
      <c r="D139">
        <v>10</v>
      </c>
    </row>
    <row r="140" spans="2:4" x14ac:dyDescent="0.2">
      <c r="B140">
        <v>2158</v>
      </c>
      <c r="C140" s="7">
        <f t="shared" si="2"/>
        <v>1.206292641465888E-2</v>
      </c>
      <c r="D140">
        <v>10</v>
      </c>
    </row>
    <row r="141" spans="2:4" x14ac:dyDescent="0.2">
      <c r="B141">
        <v>2159</v>
      </c>
      <c r="C141" s="7">
        <f t="shared" si="2"/>
        <v>1.1488501347294171E-2</v>
      </c>
      <c r="D141">
        <v>10</v>
      </c>
    </row>
    <row r="142" spans="2:4" x14ac:dyDescent="0.2">
      <c r="B142">
        <v>2160</v>
      </c>
      <c r="C142" s="7">
        <f t="shared" si="2"/>
        <v>1.0941429854565877E-2</v>
      </c>
      <c r="D142">
        <v>10</v>
      </c>
    </row>
    <row r="143" spans="2:4" x14ac:dyDescent="0.2">
      <c r="B143">
        <v>2161</v>
      </c>
      <c r="C143" s="7">
        <f t="shared" si="2"/>
        <v>1.0420409385300835E-2</v>
      </c>
      <c r="D143">
        <v>10</v>
      </c>
    </row>
    <row r="144" spans="2:4" x14ac:dyDescent="0.2">
      <c r="B144">
        <v>2162</v>
      </c>
      <c r="C144" s="7">
        <f t="shared" si="2"/>
        <v>9.9241994145722236E-3</v>
      </c>
      <c r="D144">
        <v>10</v>
      </c>
    </row>
    <row r="145" spans="2:4" x14ac:dyDescent="0.2">
      <c r="B145">
        <v>2163</v>
      </c>
      <c r="C145" s="7">
        <f t="shared" si="2"/>
        <v>9.4516184900687843E-3</v>
      </c>
      <c r="D145">
        <v>10</v>
      </c>
    </row>
    <row r="146" spans="2:4" x14ac:dyDescent="0.2">
      <c r="B146">
        <v>2164</v>
      </c>
      <c r="C146" s="7">
        <f t="shared" si="2"/>
        <v>9.0015414191131279E-3</v>
      </c>
      <c r="D146">
        <v>10</v>
      </c>
    </row>
    <row r="147" spans="2:4" x14ac:dyDescent="0.2">
      <c r="B147">
        <v>2165</v>
      </c>
      <c r="C147" s="7">
        <f t="shared" si="2"/>
        <v>8.5728965896315502E-3</v>
      </c>
      <c r="D147">
        <v>10</v>
      </c>
    </row>
    <row r="148" spans="2:4" x14ac:dyDescent="0.2">
      <c r="B148">
        <v>2166</v>
      </c>
      <c r="C148" s="7">
        <f t="shared" si="2"/>
        <v>8.1646634186967135E-3</v>
      </c>
      <c r="D148">
        <v>10</v>
      </c>
    </row>
    <row r="149" spans="2:4" x14ac:dyDescent="0.2">
      <c r="B149">
        <v>2167</v>
      </c>
      <c r="C149" s="7">
        <f t="shared" si="2"/>
        <v>7.7758699225682982E-3</v>
      </c>
      <c r="D149">
        <v>10</v>
      </c>
    </row>
    <row r="150" spans="2:4" x14ac:dyDescent="0.2">
      <c r="B150">
        <v>2168</v>
      </c>
      <c r="C150" s="7">
        <f t="shared" si="2"/>
        <v>7.4055904024459976E-3</v>
      </c>
      <c r="D150">
        <v>10</v>
      </c>
    </row>
    <row r="151" spans="2:4" x14ac:dyDescent="0.2">
      <c r="B151">
        <v>2169</v>
      </c>
      <c r="C151" s="7">
        <f t="shared" si="2"/>
        <v>7.052943240424759E-3</v>
      </c>
      <c r="D151">
        <v>10</v>
      </c>
    </row>
    <row r="152" spans="2:4" x14ac:dyDescent="0.2">
      <c r="B152">
        <v>2170</v>
      </c>
      <c r="C152" s="7">
        <f t="shared" si="2"/>
        <v>6.7170888004045321E-3</v>
      </c>
      <c r="D152">
        <v>10</v>
      </c>
    </row>
    <row r="153" spans="2:4" x14ac:dyDescent="0.2">
      <c r="B153">
        <v>2171</v>
      </c>
      <c r="C153" s="7">
        <f t="shared" si="2"/>
        <v>6.3972274289566967E-3</v>
      </c>
      <c r="D153">
        <v>10</v>
      </c>
    </row>
    <row r="154" spans="2:4" x14ac:dyDescent="0.2">
      <c r="B154">
        <v>2172</v>
      </c>
      <c r="C154" s="7">
        <f t="shared" si="2"/>
        <v>6.0925975513873298E-3</v>
      </c>
      <c r="D154">
        <v>10</v>
      </c>
    </row>
    <row r="155" spans="2:4" x14ac:dyDescent="0.2">
      <c r="B155">
        <v>2173</v>
      </c>
      <c r="C155" s="7">
        <f t="shared" si="2"/>
        <v>5.8024738584641234E-3</v>
      </c>
      <c r="D155">
        <v>10</v>
      </c>
    </row>
    <row r="156" spans="2:4" x14ac:dyDescent="0.2">
      <c r="B156">
        <v>2174</v>
      </c>
      <c r="C156" s="7">
        <f t="shared" si="2"/>
        <v>5.5261655794896407E-3</v>
      </c>
      <c r="D156">
        <v>10</v>
      </c>
    </row>
    <row r="157" spans="2:4" x14ac:dyDescent="0.2">
      <c r="B157">
        <v>2175</v>
      </c>
      <c r="C157" s="7">
        <f t="shared" si="2"/>
        <v>5.2630148376091816E-3</v>
      </c>
      <c r="D157">
        <v>10</v>
      </c>
    </row>
    <row r="158" spans="2:4" x14ac:dyDescent="0.2">
      <c r="B158">
        <v>2176</v>
      </c>
      <c r="C158" s="7">
        <f t="shared" si="2"/>
        <v>5.0123950834373154E-3</v>
      </c>
      <c r="D158">
        <v>10</v>
      </c>
    </row>
    <row r="159" spans="2:4" x14ac:dyDescent="0.2">
      <c r="B159">
        <v>2177</v>
      </c>
      <c r="C159" s="7">
        <f t="shared" si="2"/>
        <v>4.7737096032736334E-3</v>
      </c>
      <c r="D159">
        <v>10</v>
      </c>
    </row>
    <row r="160" spans="2:4" x14ac:dyDescent="0.2">
      <c r="B160">
        <v>2178</v>
      </c>
      <c r="C160" s="7">
        <f t="shared" si="2"/>
        <v>4.5463900983558408E-3</v>
      </c>
      <c r="D160">
        <v>10</v>
      </c>
    </row>
    <row r="161" spans="2:4" x14ac:dyDescent="0.2">
      <c r="B161">
        <v>2179</v>
      </c>
      <c r="C161" s="7">
        <f t="shared" si="2"/>
        <v>4.3298953317674671E-3</v>
      </c>
      <c r="D161">
        <v>10</v>
      </c>
    </row>
    <row r="162" spans="2:4" x14ac:dyDescent="0.2">
      <c r="B162">
        <v>2180</v>
      </c>
      <c r="C162" s="7">
        <f t="shared" si="2"/>
        <v>4.1237098397785398E-3</v>
      </c>
      <c r="D162">
        <v>10</v>
      </c>
    </row>
    <row r="163" spans="2:4" x14ac:dyDescent="0.2">
      <c r="B163">
        <v>2181</v>
      </c>
      <c r="C163" s="7">
        <f t="shared" si="2"/>
        <v>3.9273427045509899E-3</v>
      </c>
      <c r="D163">
        <v>10</v>
      </c>
    </row>
    <row r="164" spans="2:4" x14ac:dyDescent="0.2">
      <c r="B164">
        <v>2182</v>
      </c>
      <c r="C164" s="7">
        <f t="shared" si="2"/>
        <v>3.7403263852866567E-3</v>
      </c>
      <c r="D164">
        <v>10</v>
      </c>
    </row>
    <row r="165" spans="2:4" x14ac:dyDescent="0.2">
      <c r="B165">
        <v>2183</v>
      </c>
      <c r="C165" s="7">
        <f t="shared" si="2"/>
        <v>3.5622156050349111E-3</v>
      </c>
      <c r="D165">
        <v>10</v>
      </c>
    </row>
    <row r="166" spans="2:4" x14ac:dyDescent="0.2">
      <c r="B166">
        <v>2184</v>
      </c>
      <c r="C166" s="7">
        <f t="shared" si="2"/>
        <v>3.3925862905094389E-3</v>
      </c>
      <c r="D166">
        <v>10</v>
      </c>
    </row>
    <row r="167" spans="2:4" x14ac:dyDescent="0.2">
      <c r="B167">
        <v>2185</v>
      </c>
      <c r="C167" s="7">
        <f t="shared" si="2"/>
        <v>3.2310345623899417E-3</v>
      </c>
      <c r="D167">
        <v>10</v>
      </c>
    </row>
    <row r="168" spans="2:4" x14ac:dyDescent="0.2">
      <c r="B168">
        <v>2186</v>
      </c>
      <c r="C168" s="7">
        <f t="shared" si="2"/>
        <v>3.0771757737047063E-3</v>
      </c>
      <c r="D168">
        <v>10</v>
      </c>
    </row>
    <row r="169" spans="2:4" x14ac:dyDescent="0.2">
      <c r="B169">
        <v>2187</v>
      </c>
      <c r="C169" s="7">
        <f t="shared" si="2"/>
        <v>2.930643594004482E-3</v>
      </c>
      <c r="D169">
        <v>10</v>
      </c>
    </row>
    <row r="170" spans="2:4" x14ac:dyDescent="0.2">
      <c r="B170">
        <v>2188</v>
      </c>
      <c r="C170" s="7">
        <f t="shared" si="2"/>
        <v>2.7910891371471258E-3</v>
      </c>
      <c r="D170">
        <v>10</v>
      </c>
    </row>
    <row r="171" spans="2:4" x14ac:dyDescent="0.2">
      <c r="B171">
        <v>2189</v>
      </c>
      <c r="C171" s="7">
        <f t="shared" si="2"/>
        <v>2.6581801306163103E-3</v>
      </c>
      <c r="D171">
        <v>10</v>
      </c>
    </row>
    <row r="172" spans="2:4" x14ac:dyDescent="0.2">
      <c r="B172">
        <v>2190</v>
      </c>
      <c r="C172" s="7">
        <f t="shared" si="2"/>
        <v>2.5316001243964859E-3</v>
      </c>
      <c r="D172">
        <v>10</v>
      </c>
    </row>
    <row r="173" spans="2:4" x14ac:dyDescent="0.2">
      <c r="B173">
        <v>2191</v>
      </c>
      <c r="C173" s="7">
        <f t="shared" si="2"/>
        <v>2.4110477375204626E-3</v>
      </c>
      <c r="D173">
        <v>10</v>
      </c>
    </row>
    <row r="174" spans="2:4" x14ac:dyDescent="0.2">
      <c r="B174">
        <v>2192</v>
      </c>
      <c r="C174" s="7">
        <f t="shared" si="2"/>
        <v>2.2962359404956785E-3</v>
      </c>
      <c r="D174">
        <v>10</v>
      </c>
    </row>
    <row r="175" spans="2:4" x14ac:dyDescent="0.2">
      <c r="B175">
        <v>2193</v>
      </c>
      <c r="C175" s="7">
        <f t="shared" si="2"/>
        <v>2.186891371900646E-3</v>
      </c>
      <c r="D175">
        <v>10</v>
      </c>
    </row>
    <row r="176" spans="2:4" x14ac:dyDescent="0.2">
      <c r="B176">
        <v>2194</v>
      </c>
      <c r="C176" s="7">
        <f t="shared" si="2"/>
        <v>2.0827536875244247E-3</v>
      </c>
      <c r="D176">
        <v>10</v>
      </c>
    </row>
    <row r="177" spans="2:4" x14ac:dyDescent="0.2">
      <c r="B177">
        <v>2195</v>
      </c>
      <c r="C177" s="7">
        <f t="shared" si="2"/>
        <v>1.9835749404994519E-3</v>
      </c>
      <c r="D177">
        <v>10</v>
      </c>
    </row>
    <row r="178" spans="2:4" x14ac:dyDescent="0.2">
      <c r="B178">
        <v>2196</v>
      </c>
      <c r="C178" s="7">
        <f t="shared" si="2"/>
        <v>1.8891189909518587E-3</v>
      </c>
      <c r="D178">
        <v>10</v>
      </c>
    </row>
    <row r="179" spans="2:4" x14ac:dyDescent="0.2">
      <c r="B179">
        <v>2197</v>
      </c>
      <c r="C179" s="7">
        <f t="shared" si="2"/>
        <v>1.7991609437636748E-3</v>
      </c>
      <c r="D179">
        <v>10</v>
      </c>
    </row>
    <row r="180" spans="2:4" x14ac:dyDescent="0.2">
      <c r="B180">
        <v>2198</v>
      </c>
      <c r="C180" s="7">
        <f t="shared" si="2"/>
        <v>1.7134866131082616E-3</v>
      </c>
      <c r="D180">
        <v>10</v>
      </c>
    </row>
    <row r="181" spans="2:4" x14ac:dyDescent="0.2">
      <c r="B181">
        <v>2199</v>
      </c>
      <c r="C181" s="7">
        <f t="shared" si="2"/>
        <v>1.6318920124840585E-3</v>
      </c>
      <c r="D181">
        <v>10</v>
      </c>
    </row>
    <row r="182" spans="2:4" x14ac:dyDescent="0.2">
      <c r="B182">
        <v>2200</v>
      </c>
      <c r="C182" s="7">
        <f t="shared" si="2"/>
        <v>1.5541828690324366E-3</v>
      </c>
      <c r="D182">
        <v>10</v>
      </c>
    </row>
    <row r="183" spans="2:4" x14ac:dyDescent="0.2">
      <c r="B183">
        <v>2201</v>
      </c>
      <c r="C183" s="7">
        <f t="shared" si="2"/>
        <v>1.4801741609832728E-3</v>
      </c>
      <c r="D183">
        <v>10</v>
      </c>
    </row>
    <row r="184" spans="2:4" x14ac:dyDescent="0.2">
      <c r="B184">
        <v>2202</v>
      </c>
      <c r="C184" s="7">
        <f t="shared" si="2"/>
        <v>1.4096896771269264E-3</v>
      </c>
      <c r="D184">
        <v>10</v>
      </c>
    </row>
    <row r="185" spans="2:4" x14ac:dyDescent="0.2">
      <c r="B185">
        <v>2203</v>
      </c>
      <c r="C185" s="7">
        <f t="shared" si="2"/>
        <v>1.3425615972637393E-3</v>
      </c>
      <c r="D185">
        <v>10</v>
      </c>
    </row>
    <row r="186" spans="2:4" x14ac:dyDescent="0.2">
      <c r="B186">
        <v>2204</v>
      </c>
      <c r="C186" s="7">
        <f t="shared" si="2"/>
        <v>1.2786300926321327E-3</v>
      </c>
      <c r="D186">
        <v>10</v>
      </c>
    </row>
    <row r="187" spans="2:4" x14ac:dyDescent="0.2">
      <c r="B187">
        <v>2205</v>
      </c>
      <c r="C187" s="7">
        <f t="shared" si="2"/>
        <v>1.2177429453639357E-3</v>
      </c>
      <c r="D187">
        <v>10</v>
      </c>
    </row>
    <row r="188" spans="2:4" x14ac:dyDescent="0.2">
      <c r="B188">
        <v>2206</v>
      </c>
      <c r="C188" s="7">
        <f t="shared" si="2"/>
        <v>1.159755186060891E-3</v>
      </c>
      <c r="D188">
        <v>10</v>
      </c>
    </row>
    <row r="189" spans="2:4" x14ac:dyDescent="0.2">
      <c r="B189">
        <v>2207</v>
      </c>
      <c r="C189" s="7">
        <f t="shared" si="2"/>
        <v>1.10452874862942E-3</v>
      </c>
      <c r="D189">
        <v>10</v>
      </c>
    </row>
    <row r="190" spans="2:4" x14ac:dyDescent="0.2">
      <c r="B190">
        <v>2208</v>
      </c>
      <c r="C190" s="7">
        <f t="shared" si="2"/>
        <v>1.0519321415518284E-3</v>
      </c>
      <c r="D190">
        <v>10</v>
      </c>
    </row>
    <row r="191" spans="2:4" x14ac:dyDescent="0.2">
      <c r="B191">
        <v>2209</v>
      </c>
      <c r="C191" s="7">
        <f t="shared" si="2"/>
        <v>1.0018401348112652E-3</v>
      </c>
      <c r="D191">
        <v>10</v>
      </c>
    </row>
    <row r="192" spans="2:4" x14ac:dyDescent="0.2">
      <c r="B192">
        <v>2210</v>
      </c>
      <c r="C192" s="7">
        <f t="shared" si="2"/>
        <v>9.5413346172501436E-4</v>
      </c>
      <c r="D192">
        <v>10</v>
      </c>
    </row>
    <row r="193" spans="2:4" x14ac:dyDescent="0.2">
      <c r="B193">
        <v>2211</v>
      </c>
      <c r="C193" s="7">
        <f t="shared" si="2"/>
        <v>9.0869853497620417E-4</v>
      </c>
      <c r="D193">
        <v>10</v>
      </c>
    </row>
    <row r="194" spans="2:4" x14ac:dyDescent="0.2">
      <c r="B194">
        <v>2212</v>
      </c>
      <c r="C194" s="7">
        <f t="shared" si="2"/>
        <v>8.6542717616781351E-4</v>
      </c>
      <c r="D194">
        <v>10</v>
      </c>
    </row>
    <row r="195" spans="2:4" x14ac:dyDescent="0.2">
      <c r="B195">
        <v>2213</v>
      </c>
      <c r="C195" s="7">
        <f t="shared" si="2"/>
        <v>8.242163582550605E-4</v>
      </c>
      <c r="D195">
        <v>10</v>
      </c>
    </row>
    <row r="196" spans="2:4" x14ac:dyDescent="0.2">
      <c r="B196">
        <v>2214</v>
      </c>
      <c r="C196" s="7">
        <f t="shared" si="2"/>
        <v>7.8496796024291472E-4</v>
      </c>
      <c r="D196">
        <v>10</v>
      </c>
    </row>
    <row r="197" spans="2:4" x14ac:dyDescent="0.2">
      <c r="B197">
        <v>2215</v>
      </c>
      <c r="C197" s="7">
        <f t="shared" si="2"/>
        <v>7.475885335646807E-4</v>
      </c>
      <c r="D197">
        <v>10</v>
      </c>
    </row>
    <row r="198" spans="2:4" x14ac:dyDescent="0.2">
      <c r="B198">
        <v>2216</v>
      </c>
      <c r="C198" s="7">
        <f t="shared" si="2"/>
        <v>7.1198907958541021E-4</v>
      </c>
      <c r="D198">
        <v>10</v>
      </c>
    </row>
    <row r="199" spans="2:4" x14ac:dyDescent="0.2">
      <c r="B199">
        <v>2217</v>
      </c>
      <c r="C199" s="7">
        <f t="shared" ref="C199:C262" si="3">C198/1.05</f>
        <v>6.7808483770039063E-4</v>
      </c>
      <c r="D199">
        <v>10</v>
      </c>
    </row>
    <row r="200" spans="2:4" x14ac:dyDescent="0.2">
      <c r="B200">
        <v>2218</v>
      </c>
      <c r="C200" s="7">
        <f t="shared" si="3"/>
        <v>6.457950835241815E-4</v>
      </c>
      <c r="D200">
        <v>10</v>
      </c>
    </row>
    <row r="201" spans="2:4" x14ac:dyDescent="0.2">
      <c r="B201">
        <v>2219</v>
      </c>
      <c r="C201" s="7">
        <f t="shared" si="3"/>
        <v>6.1504293668969662E-4</v>
      </c>
      <c r="D201">
        <v>10</v>
      </c>
    </row>
    <row r="202" spans="2:4" x14ac:dyDescent="0.2">
      <c r="B202">
        <v>2220</v>
      </c>
      <c r="C202" s="7">
        <f t="shared" si="3"/>
        <v>5.8575517779971102E-4</v>
      </c>
      <c r="D202">
        <v>10</v>
      </c>
    </row>
    <row r="203" spans="2:4" x14ac:dyDescent="0.2">
      <c r="B203">
        <v>2221</v>
      </c>
      <c r="C203" s="7">
        <f t="shared" si="3"/>
        <v>5.5786207409496281E-4</v>
      </c>
      <c r="D203">
        <v>10</v>
      </c>
    </row>
    <row r="204" spans="2:4" x14ac:dyDescent="0.2">
      <c r="B204">
        <v>2222</v>
      </c>
      <c r="C204" s="7">
        <f t="shared" si="3"/>
        <v>5.3129721342377412E-4</v>
      </c>
      <c r="D204">
        <v>10</v>
      </c>
    </row>
    <row r="205" spans="2:4" x14ac:dyDescent="0.2">
      <c r="B205">
        <v>2223</v>
      </c>
      <c r="C205" s="7">
        <f t="shared" si="3"/>
        <v>5.0599734611788013E-4</v>
      </c>
      <c r="D205">
        <v>10</v>
      </c>
    </row>
    <row r="206" spans="2:4" x14ac:dyDescent="0.2">
      <c r="B206">
        <v>2224</v>
      </c>
      <c r="C206" s="7">
        <f t="shared" si="3"/>
        <v>4.8190223439798104E-4</v>
      </c>
      <c r="D206">
        <v>10</v>
      </c>
    </row>
    <row r="207" spans="2:4" x14ac:dyDescent="0.2">
      <c r="B207">
        <v>2225</v>
      </c>
      <c r="C207" s="7">
        <f t="shared" si="3"/>
        <v>4.5895450895045814E-4</v>
      </c>
      <c r="D207">
        <v>10</v>
      </c>
    </row>
    <row r="208" spans="2:4" x14ac:dyDescent="0.2">
      <c r="B208">
        <v>2226</v>
      </c>
      <c r="C208" s="7">
        <f t="shared" si="3"/>
        <v>4.3709953233376966E-4</v>
      </c>
      <c r="D208">
        <v>10</v>
      </c>
    </row>
    <row r="209" spans="2:4" x14ac:dyDescent="0.2">
      <c r="B209">
        <v>2227</v>
      </c>
      <c r="C209" s="7">
        <f t="shared" si="3"/>
        <v>4.1628526888930439E-4</v>
      </c>
      <c r="D209">
        <v>10</v>
      </c>
    </row>
    <row r="210" spans="2:4" x14ac:dyDescent="0.2">
      <c r="B210">
        <v>2228</v>
      </c>
      <c r="C210" s="7">
        <f t="shared" si="3"/>
        <v>3.9646216084695656E-4</v>
      </c>
      <c r="D210">
        <v>10</v>
      </c>
    </row>
    <row r="211" spans="2:4" x14ac:dyDescent="0.2">
      <c r="B211">
        <v>2229</v>
      </c>
      <c r="C211" s="7">
        <f t="shared" si="3"/>
        <v>3.7758301033043482E-4</v>
      </c>
      <c r="D211">
        <v>10</v>
      </c>
    </row>
    <row r="212" spans="2:4" x14ac:dyDescent="0.2">
      <c r="B212">
        <v>2230</v>
      </c>
      <c r="C212" s="7">
        <f t="shared" si="3"/>
        <v>3.5960286698136646E-4</v>
      </c>
      <c r="D212">
        <v>10</v>
      </c>
    </row>
    <row r="213" spans="2:4" x14ac:dyDescent="0.2">
      <c r="B213">
        <v>2231</v>
      </c>
      <c r="C213" s="7">
        <f t="shared" si="3"/>
        <v>3.4247892093463471E-4</v>
      </c>
      <c r="D213">
        <v>10</v>
      </c>
    </row>
    <row r="214" spans="2:4" x14ac:dyDescent="0.2">
      <c r="B214">
        <v>2232</v>
      </c>
      <c r="C214" s="7">
        <f t="shared" si="3"/>
        <v>3.2617040089012831E-4</v>
      </c>
      <c r="D214">
        <v>10</v>
      </c>
    </row>
    <row r="215" spans="2:4" x14ac:dyDescent="0.2">
      <c r="B215">
        <v>2233</v>
      </c>
      <c r="C215" s="7">
        <f t="shared" si="3"/>
        <v>3.1063847703821743E-4</v>
      </c>
      <c r="D215">
        <v>10</v>
      </c>
    </row>
    <row r="216" spans="2:4" x14ac:dyDescent="0.2">
      <c r="B216">
        <v>2234</v>
      </c>
      <c r="C216" s="7">
        <f t="shared" si="3"/>
        <v>2.9584616860782611E-4</v>
      </c>
      <c r="D216">
        <v>10</v>
      </c>
    </row>
    <row r="217" spans="2:4" x14ac:dyDescent="0.2">
      <c r="B217">
        <v>2235</v>
      </c>
      <c r="C217" s="7">
        <f t="shared" si="3"/>
        <v>2.8175825581697726E-4</v>
      </c>
      <c r="D217">
        <v>10</v>
      </c>
    </row>
    <row r="218" spans="2:4" x14ac:dyDescent="0.2">
      <c r="B218">
        <v>2236</v>
      </c>
      <c r="C218" s="7">
        <f t="shared" si="3"/>
        <v>2.683411960161688E-4</v>
      </c>
      <c r="D218">
        <v>10</v>
      </c>
    </row>
    <row r="219" spans="2:4" x14ac:dyDescent="0.2">
      <c r="B219">
        <v>2237</v>
      </c>
      <c r="C219" s="7">
        <f t="shared" si="3"/>
        <v>2.5556304382492263E-4</v>
      </c>
      <c r="D219">
        <v>10</v>
      </c>
    </row>
    <row r="220" spans="2:4" x14ac:dyDescent="0.2">
      <c r="B220">
        <v>2238</v>
      </c>
      <c r="C220" s="7">
        <f t="shared" si="3"/>
        <v>2.4339337507135487E-4</v>
      </c>
      <c r="D220">
        <v>10</v>
      </c>
    </row>
    <row r="221" spans="2:4" x14ac:dyDescent="0.2">
      <c r="B221">
        <v>2239</v>
      </c>
      <c r="C221" s="7">
        <f t="shared" si="3"/>
        <v>2.318032143536713E-4</v>
      </c>
      <c r="D221">
        <v>10</v>
      </c>
    </row>
    <row r="222" spans="2:4" x14ac:dyDescent="0.2">
      <c r="B222">
        <v>2240</v>
      </c>
      <c r="C222" s="7">
        <f t="shared" si="3"/>
        <v>2.2076496605111552E-4</v>
      </c>
      <c r="D222">
        <v>10</v>
      </c>
    </row>
    <row r="223" spans="2:4" x14ac:dyDescent="0.2">
      <c r="B223">
        <v>2241</v>
      </c>
      <c r="C223" s="7">
        <f t="shared" si="3"/>
        <v>2.1025234862011001E-4</v>
      </c>
      <c r="D223">
        <v>10</v>
      </c>
    </row>
    <row r="224" spans="2:4" x14ac:dyDescent="0.2">
      <c r="B224">
        <v>2242</v>
      </c>
      <c r="C224" s="7">
        <f t="shared" si="3"/>
        <v>2.0024033201915237E-4</v>
      </c>
      <c r="D224">
        <v>10</v>
      </c>
    </row>
    <row r="225" spans="2:4" x14ac:dyDescent="0.2">
      <c r="B225">
        <v>2243</v>
      </c>
      <c r="C225" s="7">
        <f t="shared" si="3"/>
        <v>1.9070507811347844E-4</v>
      </c>
      <c r="D225">
        <v>10</v>
      </c>
    </row>
    <row r="226" spans="2:4" x14ac:dyDescent="0.2">
      <c r="B226">
        <v>2244</v>
      </c>
      <c r="C226" s="7">
        <f t="shared" si="3"/>
        <v>1.8162388391759852E-4</v>
      </c>
      <c r="D226">
        <v>10</v>
      </c>
    </row>
    <row r="227" spans="2:4" x14ac:dyDescent="0.2">
      <c r="B227">
        <v>2245</v>
      </c>
      <c r="C227" s="7">
        <f t="shared" si="3"/>
        <v>1.7297512754057E-4</v>
      </c>
      <c r="D227">
        <v>10</v>
      </c>
    </row>
    <row r="228" spans="2:4" x14ac:dyDescent="0.2">
      <c r="B228">
        <v>2246</v>
      </c>
      <c r="C228" s="7">
        <f t="shared" si="3"/>
        <v>1.6473821670530476E-4</v>
      </c>
      <c r="D228">
        <v>10</v>
      </c>
    </row>
    <row r="229" spans="2:4" x14ac:dyDescent="0.2">
      <c r="B229">
        <v>2247</v>
      </c>
      <c r="C229" s="7">
        <f t="shared" si="3"/>
        <v>1.5689353971933787E-4</v>
      </c>
      <c r="D229">
        <v>10</v>
      </c>
    </row>
    <row r="230" spans="2:4" x14ac:dyDescent="0.2">
      <c r="B230">
        <v>2248</v>
      </c>
      <c r="C230" s="7">
        <f t="shared" si="3"/>
        <v>1.4942241878032177E-4</v>
      </c>
      <c r="D230">
        <v>10</v>
      </c>
    </row>
    <row r="231" spans="2:4" x14ac:dyDescent="0.2">
      <c r="B231">
        <v>2249</v>
      </c>
      <c r="C231" s="7">
        <f t="shared" si="3"/>
        <v>1.4230706550506835E-4</v>
      </c>
      <c r="D231">
        <v>10</v>
      </c>
    </row>
    <row r="232" spans="2:4" x14ac:dyDescent="0.2">
      <c r="B232">
        <v>2250</v>
      </c>
      <c r="C232" s="7">
        <f t="shared" si="3"/>
        <v>1.3553053857625556E-4</v>
      </c>
      <c r="D232">
        <v>10</v>
      </c>
    </row>
    <row r="233" spans="2:4" x14ac:dyDescent="0.2">
      <c r="B233">
        <v>2251</v>
      </c>
      <c r="C233" s="7">
        <f t="shared" si="3"/>
        <v>1.2907670340595766E-4</v>
      </c>
      <c r="D233">
        <v>10</v>
      </c>
    </row>
    <row r="234" spans="2:4" x14ac:dyDescent="0.2">
      <c r="B234">
        <v>2252</v>
      </c>
      <c r="C234" s="7">
        <f t="shared" si="3"/>
        <v>1.2293019371995966E-4</v>
      </c>
      <c r="D234">
        <v>10</v>
      </c>
    </row>
    <row r="235" spans="2:4" x14ac:dyDescent="0.2">
      <c r="B235">
        <v>2253</v>
      </c>
      <c r="C235" s="7">
        <f t="shared" si="3"/>
        <v>1.1707637497139015E-4</v>
      </c>
      <c r="D235">
        <v>10</v>
      </c>
    </row>
    <row r="236" spans="2:4" x14ac:dyDescent="0.2">
      <c r="B236">
        <v>2254</v>
      </c>
      <c r="C236" s="7">
        <f t="shared" si="3"/>
        <v>1.1150130949656205E-4</v>
      </c>
      <c r="D236">
        <v>10</v>
      </c>
    </row>
    <row r="237" spans="2:4" x14ac:dyDescent="0.2">
      <c r="B237">
        <v>2255</v>
      </c>
      <c r="C237" s="7">
        <f t="shared" si="3"/>
        <v>1.0619172333005908E-4</v>
      </c>
      <c r="D237">
        <v>10</v>
      </c>
    </row>
    <row r="238" spans="2:4" x14ac:dyDescent="0.2">
      <c r="B238">
        <v>2256</v>
      </c>
      <c r="C238" s="7">
        <f t="shared" si="3"/>
        <v>1.0113497460005627E-4</v>
      </c>
      <c r="D238">
        <v>10</v>
      </c>
    </row>
    <row r="239" spans="2:4" x14ac:dyDescent="0.2">
      <c r="B239">
        <v>2257</v>
      </c>
      <c r="C239" s="7">
        <f t="shared" si="3"/>
        <v>9.6319023428625018E-5</v>
      </c>
      <c r="D239">
        <v>10</v>
      </c>
    </row>
    <row r="240" spans="2:4" x14ac:dyDescent="0.2">
      <c r="B240">
        <v>2258</v>
      </c>
      <c r="C240" s="7">
        <f t="shared" si="3"/>
        <v>9.1732403265357151E-5</v>
      </c>
      <c r="D240">
        <v>10</v>
      </c>
    </row>
    <row r="241" spans="2:4" x14ac:dyDescent="0.2">
      <c r="B241">
        <v>2259</v>
      </c>
      <c r="C241" s="7">
        <f t="shared" si="3"/>
        <v>8.7364193586054426E-5</v>
      </c>
      <c r="D241">
        <v>10</v>
      </c>
    </row>
    <row r="242" spans="2:4" x14ac:dyDescent="0.2">
      <c r="B242">
        <v>2260</v>
      </c>
      <c r="C242" s="7">
        <f t="shared" si="3"/>
        <v>8.3203993891480397E-5</v>
      </c>
      <c r="D242">
        <v>10</v>
      </c>
    </row>
    <row r="243" spans="2:4" x14ac:dyDescent="0.2">
      <c r="B243">
        <v>2261</v>
      </c>
      <c r="C243" s="7">
        <f t="shared" si="3"/>
        <v>7.9241898944267043E-5</v>
      </c>
      <c r="D243">
        <v>10</v>
      </c>
    </row>
    <row r="244" spans="2:4" x14ac:dyDescent="0.2">
      <c r="B244">
        <v>2262</v>
      </c>
      <c r="C244" s="7">
        <f t="shared" si="3"/>
        <v>7.546847518501623E-5</v>
      </c>
      <c r="D244">
        <v>10</v>
      </c>
    </row>
    <row r="245" spans="2:4" x14ac:dyDescent="0.2">
      <c r="B245">
        <v>2263</v>
      </c>
      <c r="C245" s="7">
        <f t="shared" si="3"/>
        <v>7.1874738271444029E-5</v>
      </c>
      <c r="D245">
        <v>10</v>
      </c>
    </row>
    <row r="246" spans="2:4" x14ac:dyDescent="0.2">
      <c r="B246">
        <v>2264</v>
      </c>
      <c r="C246" s="7">
        <f t="shared" si="3"/>
        <v>6.8452131687089552E-5</v>
      </c>
      <c r="D246">
        <v>10</v>
      </c>
    </row>
    <row r="247" spans="2:4" x14ac:dyDescent="0.2">
      <c r="B247">
        <v>2265</v>
      </c>
      <c r="C247" s="7">
        <f t="shared" si="3"/>
        <v>6.5192506368656717E-5</v>
      </c>
      <c r="D247">
        <v>10</v>
      </c>
    </row>
    <row r="248" spans="2:4" x14ac:dyDescent="0.2">
      <c r="B248">
        <v>2266</v>
      </c>
      <c r="C248" s="7">
        <f t="shared" si="3"/>
        <v>6.208810130348259E-5</v>
      </c>
      <c r="D248">
        <v>10</v>
      </c>
    </row>
    <row r="249" spans="2:4" x14ac:dyDescent="0.2">
      <c r="B249">
        <v>2267</v>
      </c>
      <c r="C249" s="7">
        <f t="shared" si="3"/>
        <v>5.9131525050935794E-5</v>
      </c>
      <c r="D249">
        <v>10</v>
      </c>
    </row>
    <row r="250" spans="2:4" x14ac:dyDescent="0.2">
      <c r="B250">
        <v>2268</v>
      </c>
      <c r="C250" s="7">
        <f t="shared" si="3"/>
        <v>5.6315738143748373E-5</v>
      </c>
      <c r="D250">
        <v>10</v>
      </c>
    </row>
    <row r="251" spans="2:4" x14ac:dyDescent="0.2">
      <c r="B251">
        <v>2269</v>
      </c>
      <c r="C251" s="7">
        <f t="shared" si="3"/>
        <v>5.36340363273794E-5</v>
      </c>
      <c r="D251">
        <v>10</v>
      </c>
    </row>
    <row r="252" spans="2:4" x14ac:dyDescent="0.2">
      <c r="B252">
        <v>2270</v>
      </c>
      <c r="C252" s="7">
        <f t="shared" si="3"/>
        <v>5.1080034597504188E-5</v>
      </c>
      <c r="D252">
        <v>10</v>
      </c>
    </row>
    <row r="253" spans="2:4" x14ac:dyDescent="0.2">
      <c r="B253">
        <v>2271</v>
      </c>
      <c r="C253" s="7">
        <f t="shared" si="3"/>
        <v>4.8647651997623036E-5</v>
      </c>
      <c r="D253">
        <v>10</v>
      </c>
    </row>
    <row r="254" spans="2:4" x14ac:dyDescent="0.2">
      <c r="B254">
        <v>2272</v>
      </c>
      <c r="C254" s="7">
        <f t="shared" si="3"/>
        <v>4.6331097140593367E-5</v>
      </c>
      <c r="D254">
        <v>10</v>
      </c>
    </row>
    <row r="255" spans="2:4" x14ac:dyDescent="0.2">
      <c r="B255">
        <v>2273</v>
      </c>
      <c r="C255" s="7">
        <f t="shared" si="3"/>
        <v>4.4124854419612732E-5</v>
      </c>
      <c r="D255">
        <v>10</v>
      </c>
    </row>
    <row r="256" spans="2:4" x14ac:dyDescent="0.2">
      <c r="B256">
        <v>2274</v>
      </c>
      <c r="C256" s="7">
        <f t="shared" si="3"/>
        <v>4.2023670875821646E-5</v>
      </c>
      <c r="D256">
        <v>10</v>
      </c>
    </row>
    <row r="257" spans="2:4" x14ac:dyDescent="0.2">
      <c r="B257">
        <v>2275</v>
      </c>
      <c r="C257" s="7">
        <f t="shared" si="3"/>
        <v>4.0022543691258705E-5</v>
      </c>
      <c r="D257">
        <v>10</v>
      </c>
    </row>
    <row r="258" spans="2:4" x14ac:dyDescent="0.2">
      <c r="B258">
        <v>2276</v>
      </c>
      <c r="C258" s="7">
        <f t="shared" si="3"/>
        <v>3.8116708277389239E-5</v>
      </c>
      <c r="D258">
        <v>10</v>
      </c>
    </row>
    <row r="259" spans="2:4" x14ac:dyDescent="0.2">
      <c r="B259">
        <v>2277</v>
      </c>
      <c r="C259" s="7">
        <f t="shared" si="3"/>
        <v>3.6301626930846894E-5</v>
      </c>
      <c r="D259">
        <v>10</v>
      </c>
    </row>
    <row r="260" spans="2:4" x14ac:dyDescent="0.2">
      <c r="B260">
        <v>2278</v>
      </c>
      <c r="C260" s="7">
        <f t="shared" si="3"/>
        <v>3.4572978029377992E-5</v>
      </c>
      <c r="D260">
        <v>10</v>
      </c>
    </row>
    <row r="261" spans="2:4" x14ac:dyDescent="0.2">
      <c r="B261">
        <v>2279</v>
      </c>
      <c r="C261" s="7">
        <f t="shared" si="3"/>
        <v>3.292664574226475E-5</v>
      </c>
      <c r="D261">
        <v>10</v>
      </c>
    </row>
    <row r="262" spans="2:4" x14ac:dyDescent="0.2">
      <c r="B262">
        <v>2280</v>
      </c>
      <c r="C262" s="7">
        <f t="shared" si="3"/>
        <v>3.1358710230728335E-5</v>
      </c>
      <c r="D262">
        <v>10</v>
      </c>
    </row>
    <row r="263" spans="2:4" x14ac:dyDescent="0.2">
      <c r="B263">
        <v>2281</v>
      </c>
      <c r="C263" s="7">
        <f t="shared" ref="C263:C326" si="4">C262/1.05</f>
        <v>2.9865438314979367E-5</v>
      </c>
      <c r="D263">
        <v>10</v>
      </c>
    </row>
    <row r="264" spans="2:4" x14ac:dyDescent="0.2">
      <c r="B264">
        <v>2282</v>
      </c>
      <c r="C264" s="7">
        <f t="shared" si="4"/>
        <v>2.8443274585694634E-5</v>
      </c>
      <c r="D264">
        <v>10</v>
      </c>
    </row>
    <row r="265" spans="2:4" x14ac:dyDescent="0.2">
      <c r="B265">
        <v>2283</v>
      </c>
      <c r="C265" s="7">
        <f t="shared" si="4"/>
        <v>2.7088832938756795E-5</v>
      </c>
      <c r="D265">
        <v>10</v>
      </c>
    </row>
    <row r="266" spans="2:4" x14ac:dyDescent="0.2">
      <c r="B266">
        <v>2284</v>
      </c>
      <c r="C266" s="7">
        <f t="shared" si="4"/>
        <v>2.5798888513101709E-5</v>
      </c>
      <c r="D266">
        <v>10</v>
      </c>
    </row>
    <row r="267" spans="2:4" x14ac:dyDescent="0.2">
      <c r="B267">
        <v>2285</v>
      </c>
      <c r="C267" s="7">
        <f t="shared" si="4"/>
        <v>2.4570370012477818E-5</v>
      </c>
      <c r="D267">
        <v>10</v>
      </c>
    </row>
    <row r="268" spans="2:4" x14ac:dyDescent="0.2">
      <c r="B268">
        <v>2286</v>
      </c>
      <c r="C268" s="7">
        <f t="shared" si="4"/>
        <v>2.3400352392836014E-5</v>
      </c>
      <c r="D268">
        <v>10</v>
      </c>
    </row>
    <row r="269" spans="2:4" x14ac:dyDescent="0.2">
      <c r="B269">
        <v>2287</v>
      </c>
      <c r="C269" s="7">
        <f t="shared" si="4"/>
        <v>2.2286049897939062E-5</v>
      </c>
      <c r="D269">
        <v>10</v>
      </c>
    </row>
    <row r="270" spans="2:4" x14ac:dyDescent="0.2">
      <c r="B270">
        <v>2288</v>
      </c>
      <c r="C270" s="7">
        <f t="shared" si="4"/>
        <v>2.122480942660863E-5</v>
      </c>
      <c r="D270">
        <v>10</v>
      </c>
    </row>
    <row r="271" spans="2:4" x14ac:dyDescent="0.2">
      <c r="B271">
        <v>2289</v>
      </c>
      <c r="C271" s="7">
        <f t="shared" si="4"/>
        <v>2.0214104215817742E-5</v>
      </c>
      <c r="D271">
        <v>10</v>
      </c>
    </row>
    <row r="272" spans="2:4" x14ac:dyDescent="0.2">
      <c r="B272">
        <v>2290</v>
      </c>
      <c r="C272" s="7">
        <f t="shared" si="4"/>
        <v>1.9251527824588323E-5</v>
      </c>
      <c r="D272">
        <v>10</v>
      </c>
    </row>
    <row r="273" spans="2:4" x14ac:dyDescent="0.2">
      <c r="B273">
        <v>2291</v>
      </c>
      <c r="C273" s="7">
        <f t="shared" si="4"/>
        <v>1.8334788404369832E-5</v>
      </c>
      <c r="D273">
        <v>10</v>
      </c>
    </row>
    <row r="274" spans="2:4" x14ac:dyDescent="0.2">
      <c r="B274">
        <v>2292</v>
      </c>
      <c r="C274" s="7">
        <f t="shared" si="4"/>
        <v>1.7461703242256984E-5</v>
      </c>
      <c r="D274">
        <v>10</v>
      </c>
    </row>
    <row r="275" spans="2:4" x14ac:dyDescent="0.2">
      <c r="B275">
        <v>2293</v>
      </c>
      <c r="C275" s="7">
        <f t="shared" si="4"/>
        <v>1.6630193564054269E-5</v>
      </c>
      <c r="D275">
        <v>10</v>
      </c>
    </row>
    <row r="276" spans="2:4" x14ac:dyDescent="0.2">
      <c r="B276">
        <v>2294</v>
      </c>
      <c r="C276" s="7">
        <f t="shared" si="4"/>
        <v>1.583827958481359E-5</v>
      </c>
      <c r="D276">
        <v>10</v>
      </c>
    </row>
    <row r="277" spans="2:4" x14ac:dyDescent="0.2">
      <c r="B277">
        <v>2295</v>
      </c>
      <c r="C277" s="7">
        <f t="shared" si="4"/>
        <v>1.5084075795060561E-5</v>
      </c>
      <c r="D277">
        <v>10</v>
      </c>
    </row>
    <row r="278" spans="2:4" x14ac:dyDescent="0.2">
      <c r="B278">
        <v>2296</v>
      </c>
      <c r="C278" s="7">
        <f t="shared" si="4"/>
        <v>1.4365786471486247E-5</v>
      </c>
      <c r="D278">
        <v>10</v>
      </c>
    </row>
    <row r="279" spans="2:4" x14ac:dyDescent="0.2">
      <c r="B279">
        <v>2297</v>
      </c>
      <c r="C279" s="7">
        <f t="shared" si="4"/>
        <v>1.3681701401415472E-5</v>
      </c>
      <c r="D279">
        <v>10</v>
      </c>
    </row>
    <row r="280" spans="2:4" x14ac:dyDescent="0.2">
      <c r="B280">
        <v>2298</v>
      </c>
      <c r="C280" s="7">
        <f t="shared" si="4"/>
        <v>1.3030191810871877E-5</v>
      </c>
      <c r="D280">
        <v>10</v>
      </c>
    </row>
    <row r="281" spans="2:4" x14ac:dyDescent="0.2">
      <c r="B281">
        <v>2299</v>
      </c>
      <c r="C281" s="7">
        <f t="shared" si="4"/>
        <v>1.2409706486544645E-5</v>
      </c>
      <c r="D281">
        <v>10</v>
      </c>
    </row>
    <row r="282" spans="2:4" x14ac:dyDescent="0.2">
      <c r="B282">
        <v>2300</v>
      </c>
      <c r="C282" s="7">
        <f t="shared" si="4"/>
        <v>1.181876808242347E-5</v>
      </c>
      <c r="D282">
        <v>10</v>
      </c>
    </row>
    <row r="283" spans="2:4" x14ac:dyDescent="0.2">
      <c r="B283">
        <v>2301</v>
      </c>
      <c r="C283" s="7">
        <f t="shared" si="4"/>
        <v>1.1255969602308067E-5</v>
      </c>
      <c r="D283">
        <v>10</v>
      </c>
    </row>
    <row r="284" spans="2:4" x14ac:dyDescent="0.2">
      <c r="B284">
        <v>2302</v>
      </c>
      <c r="C284" s="7">
        <f t="shared" si="4"/>
        <v>1.0719971049817206E-5</v>
      </c>
      <c r="D284">
        <v>10</v>
      </c>
    </row>
    <row r="285" spans="2:4" x14ac:dyDescent="0.2">
      <c r="B285">
        <v>2303</v>
      </c>
      <c r="C285" s="7">
        <f t="shared" si="4"/>
        <v>1.0209496237921148E-5</v>
      </c>
      <c r="D285">
        <v>10</v>
      </c>
    </row>
    <row r="286" spans="2:4" x14ac:dyDescent="0.2">
      <c r="B286">
        <v>2304</v>
      </c>
      <c r="C286" s="7">
        <f t="shared" si="4"/>
        <v>9.7233297504010941E-6</v>
      </c>
      <c r="D286">
        <v>10</v>
      </c>
    </row>
    <row r="287" spans="2:4" x14ac:dyDescent="0.2">
      <c r="B287">
        <v>2305</v>
      </c>
      <c r="C287" s="7">
        <f t="shared" si="4"/>
        <v>9.2603140480010421E-6</v>
      </c>
      <c r="D287">
        <v>10</v>
      </c>
    </row>
    <row r="288" spans="2:4" x14ac:dyDescent="0.2">
      <c r="B288">
        <v>2306</v>
      </c>
      <c r="C288" s="7">
        <f t="shared" si="4"/>
        <v>8.8193467123819437E-6</v>
      </c>
      <c r="D288">
        <v>10</v>
      </c>
    </row>
    <row r="289" spans="2:4" x14ac:dyDescent="0.2">
      <c r="B289">
        <v>2307</v>
      </c>
      <c r="C289" s="7">
        <f t="shared" si="4"/>
        <v>8.3993778213161359E-6</v>
      </c>
      <c r="D289">
        <v>10</v>
      </c>
    </row>
    <row r="290" spans="2:4" x14ac:dyDescent="0.2">
      <c r="B290">
        <v>2308</v>
      </c>
      <c r="C290" s="7">
        <f t="shared" si="4"/>
        <v>7.9994074488725108E-6</v>
      </c>
      <c r="D290">
        <v>10</v>
      </c>
    </row>
    <row r="291" spans="2:4" x14ac:dyDescent="0.2">
      <c r="B291">
        <v>2309</v>
      </c>
      <c r="C291" s="7">
        <f t="shared" si="4"/>
        <v>7.6184832846404864E-6</v>
      </c>
      <c r="D291">
        <v>10</v>
      </c>
    </row>
    <row r="292" spans="2:4" x14ac:dyDescent="0.2">
      <c r="B292">
        <v>2310</v>
      </c>
      <c r="C292" s="7">
        <f t="shared" si="4"/>
        <v>7.2556983663242722E-6</v>
      </c>
      <c r="D292">
        <v>10</v>
      </c>
    </row>
    <row r="293" spans="2:4" x14ac:dyDescent="0.2">
      <c r="B293">
        <v>2311</v>
      </c>
      <c r="C293" s="7">
        <f t="shared" si="4"/>
        <v>6.9101889203088307E-6</v>
      </c>
      <c r="D293">
        <v>10</v>
      </c>
    </row>
    <row r="294" spans="2:4" x14ac:dyDescent="0.2">
      <c r="B294">
        <v>2312</v>
      </c>
      <c r="C294" s="7">
        <f t="shared" si="4"/>
        <v>6.5811323050560289E-6</v>
      </c>
      <c r="D294">
        <v>10</v>
      </c>
    </row>
    <row r="295" spans="2:4" x14ac:dyDescent="0.2">
      <c r="B295">
        <v>2313</v>
      </c>
      <c r="C295" s="7">
        <f t="shared" si="4"/>
        <v>6.2677450524343133E-6</v>
      </c>
      <c r="D295">
        <v>10</v>
      </c>
    </row>
    <row r="296" spans="2:4" x14ac:dyDescent="0.2">
      <c r="B296">
        <v>2314</v>
      </c>
      <c r="C296" s="7">
        <f t="shared" si="4"/>
        <v>5.969281002318393E-6</v>
      </c>
      <c r="D296">
        <v>10</v>
      </c>
    </row>
    <row r="297" spans="2:4" x14ac:dyDescent="0.2">
      <c r="B297">
        <v>2315</v>
      </c>
      <c r="C297" s="7">
        <f t="shared" si="4"/>
        <v>5.685029526017517E-6</v>
      </c>
      <c r="D297">
        <v>10</v>
      </c>
    </row>
    <row r="298" spans="2:4" x14ac:dyDescent="0.2">
      <c r="B298">
        <v>2316</v>
      </c>
      <c r="C298" s="7">
        <f t="shared" si="4"/>
        <v>5.4143138343023967E-6</v>
      </c>
      <c r="D298">
        <v>10</v>
      </c>
    </row>
    <row r="299" spans="2:4" x14ac:dyDescent="0.2">
      <c r="B299">
        <v>2317</v>
      </c>
      <c r="C299" s="7">
        <f t="shared" si="4"/>
        <v>5.1564893660022822E-6</v>
      </c>
      <c r="D299">
        <v>10</v>
      </c>
    </row>
    <row r="300" spans="2:4" x14ac:dyDescent="0.2">
      <c r="B300">
        <v>2318</v>
      </c>
      <c r="C300" s="7">
        <f t="shared" si="4"/>
        <v>4.9109422533355069E-6</v>
      </c>
      <c r="D300">
        <v>10</v>
      </c>
    </row>
    <row r="301" spans="2:4" x14ac:dyDescent="0.2">
      <c r="B301">
        <v>2319</v>
      </c>
      <c r="C301" s="7">
        <f t="shared" si="4"/>
        <v>4.6770878603195306E-6</v>
      </c>
      <c r="D301">
        <v>10</v>
      </c>
    </row>
    <row r="302" spans="2:4" x14ac:dyDescent="0.2">
      <c r="B302">
        <v>2320</v>
      </c>
      <c r="C302" s="7">
        <f t="shared" si="4"/>
        <v>4.4543693907805055E-6</v>
      </c>
      <c r="D302">
        <v>10</v>
      </c>
    </row>
    <row r="303" spans="2:4" x14ac:dyDescent="0.2">
      <c r="B303">
        <v>2321</v>
      </c>
      <c r="C303" s="7">
        <f t="shared" si="4"/>
        <v>4.2422565626481003E-6</v>
      </c>
      <c r="D303">
        <v>10</v>
      </c>
    </row>
    <row r="304" spans="2:4" x14ac:dyDescent="0.2">
      <c r="B304">
        <v>2322</v>
      </c>
      <c r="C304" s="7">
        <f t="shared" si="4"/>
        <v>4.0402443453791431E-6</v>
      </c>
      <c r="D304">
        <v>10</v>
      </c>
    </row>
    <row r="305" spans="2:4" x14ac:dyDescent="0.2">
      <c r="B305">
        <v>2323</v>
      </c>
      <c r="C305" s="7">
        <f t="shared" si="4"/>
        <v>3.8478517575039459E-6</v>
      </c>
      <c r="D305">
        <v>10</v>
      </c>
    </row>
    <row r="306" spans="2:4" x14ac:dyDescent="0.2">
      <c r="B306">
        <v>2324</v>
      </c>
      <c r="C306" s="7">
        <f t="shared" si="4"/>
        <v>3.6646207214323291E-6</v>
      </c>
      <c r="D306">
        <v>10</v>
      </c>
    </row>
    <row r="307" spans="2:4" x14ac:dyDescent="0.2">
      <c r="B307">
        <v>2325</v>
      </c>
      <c r="C307" s="7">
        <f t="shared" si="4"/>
        <v>3.4901149727926945E-6</v>
      </c>
      <c r="D307">
        <v>10</v>
      </c>
    </row>
    <row r="308" spans="2:4" x14ac:dyDescent="0.2">
      <c r="B308">
        <v>2326</v>
      </c>
      <c r="C308" s="7">
        <f t="shared" si="4"/>
        <v>3.3239190217073279E-6</v>
      </c>
      <c r="D308">
        <v>10</v>
      </c>
    </row>
    <row r="309" spans="2:4" x14ac:dyDescent="0.2">
      <c r="B309">
        <v>2327</v>
      </c>
      <c r="C309" s="7">
        <f t="shared" si="4"/>
        <v>3.1656371635307882E-6</v>
      </c>
      <c r="D309">
        <v>10</v>
      </c>
    </row>
    <row r="310" spans="2:4" x14ac:dyDescent="0.2">
      <c r="B310">
        <v>2328</v>
      </c>
      <c r="C310" s="7">
        <f t="shared" si="4"/>
        <v>3.0148925366959885E-6</v>
      </c>
      <c r="D310">
        <v>10</v>
      </c>
    </row>
    <row r="311" spans="2:4" x14ac:dyDescent="0.2">
      <c r="B311">
        <v>2329</v>
      </c>
      <c r="C311" s="7">
        <f t="shared" si="4"/>
        <v>2.8713262254247507E-6</v>
      </c>
      <c r="D311">
        <v>10</v>
      </c>
    </row>
    <row r="312" spans="2:4" x14ac:dyDescent="0.2">
      <c r="B312">
        <v>2330</v>
      </c>
      <c r="C312" s="7">
        <f t="shared" si="4"/>
        <v>2.7345964051664293E-6</v>
      </c>
      <c r="D312">
        <v>10</v>
      </c>
    </row>
    <row r="313" spans="2:4" x14ac:dyDescent="0.2">
      <c r="B313">
        <v>2331</v>
      </c>
      <c r="C313" s="7">
        <f t="shared" si="4"/>
        <v>2.6043775287299326E-6</v>
      </c>
      <c r="D313">
        <v>10</v>
      </c>
    </row>
    <row r="314" spans="2:4" x14ac:dyDescent="0.2">
      <c r="B314">
        <v>2332</v>
      </c>
      <c r="C314" s="7">
        <f t="shared" si="4"/>
        <v>2.4803595511713644E-6</v>
      </c>
      <c r="D314">
        <v>10</v>
      </c>
    </row>
    <row r="315" spans="2:4" x14ac:dyDescent="0.2">
      <c r="B315">
        <v>2333</v>
      </c>
      <c r="C315" s="7">
        <f t="shared" si="4"/>
        <v>2.3622471915917755E-6</v>
      </c>
      <c r="D315">
        <v>10</v>
      </c>
    </row>
    <row r="316" spans="2:4" x14ac:dyDescent="0.2">
      <c r="B316">
        <v>2334</v>
      </c>
      <c r="C316" s="7">
        <f t="shared" si="4"/>
        <v>2.2497592300874051E-6</v>
      </c>
      <c r="D316">
        <v>10</v>
      </c>
    </row>
    <row r="317" spans="2:4" x14ac:dyDescent="0.2">
      <c r="B317">
        <v>2335</v>
      </c>
      <c r="C317" s="7">
        <f t="shared" si="4"/>
        <v>2.1426278381784809E-6</v>
      </c>
      <c r="D317">
        <v>10</v>
      </c>
    </row>
    <row r="318" spans="2:4" x14ac:dyDescent="0.2">
      <c r="B318">
        <v>2336</v>
      </c>
      <c r="C318" s="7">
        <f t="shared" si="4"/>
        <v>2.0405979411223628E-6</v>
      </c>
      <c r="D318">
        <v>10</v>
      </c>
    </row>
    <row r="319" spans="2:4" x14ac:dyDescent="0.2">
      <c r="B319">
        <v>2337</v>
      </c>
      <c r="C319" s="7">
        <f t="shared" si="4"/>
        <v>1.9434266105927266E-6</v>
      </c>
      <c r="D319">
        <v>10</v>
      </c>
    </row>
    <row r="320" spans="2:4" x14ac:dyDescent="0.2">
      <c r="B320">
        <v>2338</v>
      </c>
      <c r="C320" s="7">
        <f t="shared" si="4"/>
        <v>1.8508824862787873E-6</v>
      </c>
      <c r="D320">
        <v>10</v>
      </c>
    </row>
    <row r="321" spans="2:4" x14ac:dyDescent="0.2">
      <c r="B321">
        <v>2339</v>
      </c>
      <c r="C321" s="7">
        <f t="shared" si="4"/>
        <v>1.7627452250274165E-6</v>
      </c>
      <c r="D321">
        <v>10</v>
      </c>
    </row>
    <row r="322" spans="2:4" x14ac:dyDescent="0.2">
      <c r="B322">
        <v>2340</v>
      </c>
      <c r="C322" s="7">
        <f t="shared" si="4"/>
        <v>1.6788049762165871E-6</v>
      </c>
      <c r="D322">
        <v>10</v>
      </c>
    </row>
    <row r="323" spans="2:4" x14ac:dyDescent="0.2">
      <c r="B323">
        <v>2341</v>
      </c>
      <c r="C323" s="7">
        <f t="shared" si="4"/>
        <v>1.5988618821110353E-6</v>
      </c>
      <c r="D323">
        <v>10</v>
      </c>
    </row>
    <row r="324" spans="2:4" x14ac:dyDescent="0.2">
      <c r="B324">
        <v>2342</v>
      </c>
      <c r="C324" s="7">
        <f t="shared" si="4"/>
        <v>1.5227256020105097E-6</v>
      </c>
      <c r="D324">
        <v>10</v>
      </c>
    </row>
    <row r="325" spans="2:4" x14ac:dyDescent="0.2">
      <c r="B325">
        <v>2343</v>
      </c>
      <c r="C325" s="7">
        <f t="shared" si="4"/>
        <v>1.4502148590576282E-6</v>
      </c>
      <c r="D325">
        <v>10</v>
      </c>
    </row>
    <row r="326" spans="2:4" x14ac:dyDescent="0.2">
      <c r="B326">
        <v>2344</v>
      </c>
      <c r="C326" s="7">
        <f t="shared" si="4"/>
        <v>1.3811570086263126E-6</v>
      </c>
      <c r="D326">
        <v>10</v>
      </c>
    </row>
    <row r="327" spans="2:4" x14ac:dyDescent="0.2">
      <c r="B327">
        <v>2345</v>
      </c>
      <c r="C327" s="7">
        <f t="shared" ref="C327:C347" si="5">C326/1.05</f>
        <v>1.3153876272631548E-6</v>
      </c>
      <c r="D327">
        <v>10</v>
      </c>
    </row>
    <row r="328" spans="2:4" x14ac:dyDescent="0.2">
      <c r="B328">
        <v>2346</v>
      </c>
      <c r="C328" s="7">
        <f t="shared" si="5"/>
        <v>1.2527501212030045E-6</v>
      </c>
      <c r="D328">
        <v>10</v>
      </c>
    </row>
    <row r="329" spans="2:4" x14ac:dyDescent="0.2">
      <c r="B329">
        <v>2347</v>
      </c>
      <c r="C329" s="7">
        <f t="shared" si="5"/>
        <v>1.1930953535266709E-6</v>
      </c>
      <c r="D329">
        <v>10</v>
      </c>
    </row>
    <row r="330" spans="2:4" x14ac:dyDescent="0.2">
      <c r="B330">
        <v>2348</v>
      </c>
      <c r="C330" s="7">
        <f t="shared" si="5"/>
        <v>1.13628128907302E-6</v>
      </c>
      <c r="D330">
        <v>10</v>
      </c>
    </row>
    <row r="331" spans="2:4" x14ac:dyDescent="0.2">
      <c r="B331">
        <v>2349</v>
      </c>
      <c r="C331" s="7">
        <f t="shared" si="5"/>
        <v>1.0821726562600189E-6</v>
      </c>
      <c r="D331">
        <v>10</v>
      </c>
    </row>
    <row r="332" spans="2:4" x14ac:dyDescent="0.2">
      <c r="B332">
        <v>2350</v>
      </c>
      <c r="C332" s="7">
        <f t="shared" si="5"/>
        <v>1.0306406250095418E-6</v>
      </c>
      <c r="D332">
        <v>10</v>
      </c>
    </row>
    <row r="333" spans="2:4" x14ac:dyDescent="0.2">
      <c r="B333">
        <v>2351</v>
      </c>
      <c r="C333" s="7">
        <f t="shared" si="5"/>
        <v>9.8156250000908737E-7</v>
      </c>
      <c r="D333">
        <v>10</v>
      </c>
    </row>
    <row r="334" spans="2:4" x14ac:dyDescent="0.2">
      <c r="B334">
        <v>2352</v>
      </c>
      <c r="C334" s="7">
        <f t="shared" si="5"/>
        <v>9.3482142858008315E-7</v>
      </c>
      <c r="D334">
        <v>10</v>
      </c>
    </row>
    <row r="335" spans="2:4" x14ac:dyDescent="0.2">
      <c r="B335">
        <v>2353</v>
      </c>
      <c r="C335" s="7">
        <f t="shared" si="5"/>
        <v>8.9030612245722198E-7</v>
      </c>
      <c r="D335">
        <v>10</v>
      </c>
    </row>
    <row r="336" spans="2:4" x14ac:dyDescent="0.2">
      <c r="B336">
        <v>2354</v>
      </c>
      <c r="C336" s="7">
        <f t="shared" si="5"/>
        <v>8.4791059281640186E-7</v>
      </c>
      <c r="D336">
        <v>10</v>
      </c>
    </row>
    <row r="337" spans="2:4" x14ac:dyDescent="0.2">
      <c r="B337">
        <v>2355</v>
      </c>
      <c r="C337" s="7">
        <f t="shared" si="5"/>
        <v>8.0753389792038265E-7</v>
      </c>
      <c r="D337">
        <v>10</v>
      </c>
    </row>
    <row r="338" spans="2:4" x14ac:dyDescent="0.2">
      <c r="B338">
        <v>2356</v>
      </c>
      <c r="C338" s="7">
        <f t="shared" si="5"/>
        <v>7.6907990278131676E-7</v>
      </c>
      <c r="D338">
        <v>10</v>
      </c>
    </row>
    <row r="339" spans="2:4" x14ac:dyDescent="0.2">
      <c r="B339">
        <v>2357</v>
      </c>
      <c r="C339" s="7">
        <f t="shared" si="5"/>
        <v>7.3245705026792068E-7</v>
      </c>
      <c r="D339">
        <v>10</v>
      </c>
    </row>
    <row r="340" spans="2:4" x14ac:dyDescent="0.2">
      <c r="B340">
        <v>2358</v>
      </c>
      <c r="C340" s="7">
        <f t="shared" si="5"/>
        <v>6.9757814311230536E-7</v>
      </c>
      <c r="D340">
        <v>10</v>
      </c>
    </row>
    <row r="341" spans="2:4" x14ac:dyDescent="0.2">
      <c r="B341">
        <v>2359</v>
      </c>
      <c r="C341" s="7">
        <f t="shared" si="5"/>
        <v>6.6436013629743368E-7</v>
      </c>
      <c r="D341">
        <v>10</v>
      </c>
    </row>
    <row r="342" spans="2:4" x14ac:dyDescent="0.2">
      <c r="B342">
        <v>2360</v>
      </c>
      <c r="C342" s="7">
        <f t="shared" si="5"/>
        <v>6.327239393308892E-7</v>
      </c>
      <c r="D342">
        <v>10</v>
      </c>
    </row>
    <row r="343" spans="2:4" x14ac:dyDescent="0.2">
      <c r="B343">
        <v>2361</v>
      </c>
      <c r="C343" s="7">
        <f t="shared" si="5"/>
        <v>6.0259422793418012E-7</v>
      </c>
      <c r="D343">
        <v>10</v>
      </c>
    </row>
    <row r="344" spans="2:4" x14ac:dyDescent="0.2">
      <c r="B344">
        <v>2362</v>
      </c>
      <c r="C344" s="7">
        <f t="shared" si="5"/>
        <v>5.7389926469921913E-7</v>
      </c>
      <c r="D344">
        <v>10</v>
      </c>
    </row>
    <row r="345" spans="2:4" x14ac:dyDescent="0.2">
      <c r="B345">
        <v>2363</v>
      </c>
      <c r="C345" s="7">
        <f t="shared" si="5"/>
        <v>5.4657072828497057E-7</v>
      </c>
      <c r="D345">
        <v>10</v>
      </c>
    </row>
    <row r="346" spans="2:4" x14ac:dyDescent="0.2">
      <c r="B346">
        <v>2364</v>
      </c>
      <c r="C346" s="7">
        <f t="shared" si="5"/>
        <v>5.20543550747591E-7</v>
      </c>
      <c r="D346">
        <v>10</v>
      </c>
    </row>
    <row r="347" spans="2:4" x14ac:dyDescent="0.2">
      <c r="B347">
        <v>2365</v>
      </c>
      <c r="C347" s="7">
        <f t="shared" si="5"/>
        <v>4.957557626167533E-7</v>
      </c>
      <c r="D34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2023-07-27T13:59:54Z</dcterms:created>
  <dcterms:modified xsi:type="dcterms:W3CDTF">2023-08-07T12:15:15Z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2023-08-07T12:15:15Z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26d9f01e-af58-499a-aecf-539bbe9fe6f9</vt:lpwstr>
  </property>
  <property fmtid="{D5CDD505-2E9C-101B-9397-08002B2CF9AE}" pid="7" name="MSIP_Label_defa4170-0d19-0005-0004-bc88714345d2_ActionId">
    <vt:lpwstr>5950304e-0829-450a-87af-4c9efe090fa5</vt:lpwstr>
  </property>
  <property fmtid="{D5CDD505-2E9C-101B-9397-08002B2CF9AE}" pid="8" name="MSIP_Label_defa4170-0d19-0005-0004-bc88714345d2_ContentBits">
    <vt:lpwstr>0</vt:lpwstr>
  </property>
</Properties>
</file>