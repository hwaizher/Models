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Malaysian Semiconductor\"/>
    </mc:Choice>
  </mc:AlternateContent>
  <xr:revisionPtr revIDLastSave="0" documentId="13_ncr:1_{34383B20-1AB3-4DD7-AA4E-7442F8312328}" xr6:coauthVersionLast="47" xr6:coauthVersionMax="47" xr10:uidLastSave="{00000000-0000-0000-0000-000000000000}"/>
  <bookViews>
    <workbookView xWindow="-120" yWindow="-120" windowWidth="29040" windowHeight="15840" xr2:uid="{02BBAC8C-9286-427E-B0E2-D3F20296D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N36" i="1"/>
  <c r="N33" i="1"/>
  <c r="R47" i="1"/>
  <c r="Q34" i="1"/>
  <c r="W34" i="1"/>
  <c r="W32" i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T43" i="1"/>
  <c r="S43" i="1"/>
  <c r="T32" i="1"/>
  <c r="T34" i="1" s="1"/>
  <c r="U40" i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T40" i="1"/>
  <c r="S40" i="1"/>
  <c r="Q32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AI3" i="1"/>
  <c r="XFD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L23" i="1"/>
  <c r="L24" i="1"/>
  <c r="L22" i="1"/>
  <c r="L20" i="1"/>
  <c r="L19" i="1"/>
  <c r="L17" i="1"/>
  <c r="L15" i="1"/>
  <c r="L14" i="1"/>
  <c r="L12" i="1"/>
  <c r="L10" i="1"/>
  <c r="L9" i="1"/>
  <c r="L8" i="1"/>
  <c r="L7" i="1"/>
  <c r="L5" i="1"/>
  <c r="L4" i="1"/>
  <c r="L3" i="1"/>
  <c r="M24" i="1"/>
  <c r="M23" i="1"/>
  <c r="M22" i="1"/>
  <c r="M20" i="1"/>
  <c r="M19" i="1"/>
  <c r="M17" i="1"/>
  <c r="M15" i="1"/>
  <c r="M14" i="1"/>
  <c r="M12" i="1"/>
  <c r="M10" i="1"/>
  <c r="M9" i="1"/>
  <c r="M8" i="1"/>
  <c r="M7" i="1"/>
  <c r="M5" i="1"/>
  <c r="M4" i="1"/>
  <c r="M3" i="1"/>
  <c r="B27" i="1"/>
  <c r="B26" i="1"/>
  <c r="C27" i="1"/>
  <c r="C26" i="1"/>
  <c r="D27" i="1"/>
  <c r="D26" i="1"/>
  <c r="E27" i="1"/>
  <c r="E26" i="1"/>
  <c r="F27" i="1"/>
  <c r="F26" i="1"/>
  <c r="G27" i="1"/>
  <c r="G26" i="1"/>
  <c r="H27" i="1"/>
  <c r="H26" i="1"/>
  <c r="I27" i="1"/>
  <c r="I26" i="1"/>
  <c r="B5" i="1"/>
  <c r="B12" i="1" s="1"/>
  <c r="C5" i="1"/>
  <c r="C12" i="1" s="1"/>
  <c r="G5" i="1"/>
  <c r="G12" i="1" s="1"/>
  <c r="D5" i="1"/>
  <c r="D12" i="1" s="1"/>
  <c r="H5" i="1"/>
  <c r="H12" i="1" s="1"/>
  <c r="J27" i="1"/>
  <c r="J26" i="1"/>
  <c r="E10" i="1"/>
  <c r="I5" i="1"/>
  <c r="I12" i="1" s="1"/>
  <c r="I17" i="1" s="1"/>
  <c r="I20" i="1" s="1"/>
  <c r="E5" i="1"/>
  <c r="B62" i="1"/>
  <c r="B49" i="1"/>
  <c r="F17" i="1"/>
  <c r="F5" i="1"/>
  <c r="F22" i="1" s="1"/>
  <c r="G22" i="1"/>
  <c r="C22" i="1"/>
  <c r="J24" i="1"/>
  <c r="J23" i="1"/>
  <c r="J22" i="1"/>
  <c r="J20" i="1"/>
  <c r="J17" i="1"/>
  <c r="J12" i="1"/>
  <c r="J5" i="1"/>
  <c r="B22" i="1" l="1"/>
  <c r="B17" i="1"/>
  <c r="B20" i="1" s="1"/>
  <c r="B24" i="1" s="1"/>
  <c r="B23" i="1"/>
  <c r="C23" i="1"/>
  <c r="C17" i="1"/>
  <c r="C20" i="1" s="1"/>
  <c r="C24" i="1" s="1"/>
  <c r="G17" i="1"/>
  <c r="G20" i="1" s="1"/>
  <c r="G24" i="1" s="1"/>
  <c r="G23" i="1"/>
  <c r="D22" i="1"/>
  <c r="D17" i="1"/>
  <c r="D20" i="1" s="1"/>
  <c r="D24" i="1" s="1"/>
  <c r="D23" i="1"/>
  <c r="H22" i="1"/>
  <c r="H17" i="1"/>
  <c r="H20" i="1" s="1"/>
  <c r="H24" i="1" s="1"/>
  <c r="H23" i="1"/>
  <c r="E12" i="1"/>
  <c r="E17" i="1" s="1"/>
  <c r="E20" i="1" s="1"/>
  <c r="E24" i="1" s="1"/>
  <c r="E22" i="1"/>
  <c r="I24" i="1"/>
  <c r="I23" i="1"/>
  <c r="I22" i="1"/>
  <c r="F12" i="1"/>
  <c r="E23" i="1" l="1"/>
  <c r="F20" i="1"/>
  <c r="F24" i="1" s="1"/>
  <c r="F23" i="1"/>
</calcChain>
</file>

<file path=xl/sharedStrings.xml><?xml version="1.0" encoding="utf-8"?>
<sst xmlns="http://schemas.openxmlformats.org/spreadsheetml/2006/main" count="78" uniqueCount="74">
  <si>
    <t>Price</t>
  </si>
  <si>
    <t>Shares Outstanding</t>
  </si>
  <si>
    <t>Market Cap</t>
  </si>
  <si>
    <t>Cash</t>
  </si>
  <si>
    <t>Debt</t>
  </si>
  <si>
    <t>Enterprise Value</t>
  </si>
  <si>
    <t>Revenue</t>
  </si>
  <si>
    <t>Cost of Goods Sold</t>
  </si>
  <si>
    <t>Gross Profit</t>
  </si>
  <si>
    <t>Other income</t>
  </si>
  <si>
    <t>Distribution Costs</t>
  </si>
  <si>
    <t>Administrative Expenses</t>
  </si>
  <si>
    <t>Operating Profit</t>
  </si>
  <si>
    <t>Other Operating Expenses</t>
  </si>
  <si>
    <t>Finance Costs</t>
  </si>
  <si>
    <t>Share of loss of associates</t>
  </si>
  <si>
    <t>Profit before taxation</t>
  </si>
  <si>
    <t>Taxation</t>
  </si>
  <si>
    <t>Net Profit</t>
  </si>
  <si>
    <t>Q1 2021</t>
  </si>
  <si>
    <t>Q2 2021</t>
  </si>
  <si>
    <t>Q3 2021</t>
  </si>
  <si>
    <t>Q1 2022</t>
  </si>
  <si>
    <t>Q2 2022</t>
  </si>
  <si>
    <t>Q3 2022</t>
  </si>
  <si>
    <t>Q4 2022</t>
  </si>
  <si>
    <t>Q1 2023</t>
  </si>
  <si>
    <t>(Thousands)</t>
  </si>
  <si>
    <t>Gross Margin</t>
  </si>
  <si>
    <t>Operating Margin</t>
  </si>
  <si>
    <t>Net Margin</t>
  </si>
  <si>
    <t>Revenue y/y</t>
  </si>
  <si>
    <t>Net Profit y/y</t>
  </si>
  <si>
    <t>Balance Sheet</t>
  </si>
  <si>
    <t>Assets</t>
  </si>
  <si>
    <t>Non-current Assets</t>
  </si>
  <si>
    <t>as of 31st March 2022</t>
  </si>
  <si>
    <t>PPE</t>
  </si>
  <si>
    <t>Investment Properties</t>
  </si>
  <si>
    <t>Goodwill</t>
  </si>
  <si>
    <t>Intangible Assets</t>
  </si>
  <si>
    <t>Investment in associates</t>
  </si>
  <si>
    <t>Other investments</t>
  </si>
  <si>
    <t>Current Assets</t>
  </si>
  <si>
    <t>Inventories</t>
  </si>
  <si>
    <t>Trade Receivables</t>
  </si>
  <si>
    <t>Other receivables, deposits, prepayments</t>
  </si>
  <si>
    <t>Derivative Financial Assets</t>
  </si>
  <si>
    <t>tax recoverable</t>
  </si>
  <si>
    <t>Cash and Cash Equivalents</t>
  </si>
  <si>
    <t>Total Assets</t>
  </si>
  <si>
    <t>Liabilities</t>
  </si>
  <si>
    <t>Non-current liabilities</t>
  </si>
  <si>
    <t>Deferred tax liabilities</t>
  </si>
  <si>
    <t>Current liabilities</t>
  </si>
  <si>
    <t>Trade payables</t>
  </si>
  <si>
    <t>Other payables, accruals and provision</t>
  </si>
  <si>
    <t>Contract liabilities</t>
  </si>
  <si>
    <t>Derivative financial liabilities</t>
  </si>
  <si>
    <t>Tax payable</t>
  </si>
  <si>
    <t>Total Liablities</t>
  </si>
  <si>
    <t>Shareholder's Equity</t>
  </si>
  <si>
    <t>Share Capital</t>
  </si>
  <si>
    <t>Reserves</t>
  </si>
  <si>
    <t>Q4 2021</t>
  </si>
  <si>
    <t>Discount Rate</t>
  </si>
  <si>
    <t>Present Value of Cash Flow</t>
  </si>
  <si>
    <t>Enterprise</t>
  </si>
  <si>
    <t>Scenario 1: Revenue and NP grow 15%</t>
  </si>
  <si>
    <t>Scenario 2: Revenue and NP grow 10%</t>
  </si>
  <si>
    <t xml:space="preserve">NPV </t>
  </si>
  <si>
    <t>Scenario 2: Revenue and NP grow 5%</t>
  </si>
  <si>
    <t>If growth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</si>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</sst>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0" fillId="0" borderId="0" xfId="0" applyFont="1"/>
    <xf numFmtId="9" fontId="0" fillId="0" borderId="0" xfId="0" applyNumberFormat="1" applyFont="1"/>
    <xf numFmtId="15" fontId="0" fillId="0" borderId="0" xfId="0" applyNumberFormat="1"/>
    <xf numFmtId="43" fontId="2" fillId="0" borderId="0" xfId="1" applyFont="1"/>
    <xf numFmtId="165" fontId="2" fillId="0" borderId="0" xfId="0" applyNumberFormat="1" applyFont="1"/>
    <xf numFmtId="165" fontId="1" fillId="0" borderId="0" xfId="1" applyNumberFormat="1" applyFont="1"/>
    <xf numFmtId="9" fontId="0" fillId="0" borderId="0" xfId="0" applyNumberFormat="1"/>
    <xf numFmtId="165" fontId="0" fillId="0" borderId="0" xfId="0" applyNumberFormat="1" applyFont="1"/>
    <xf numFmtId="8" fontId="2" fillId="0" borderId="0" xfId="0" applyNumberFormat="1" applyFont="1"/>
    <xf numFmtId="8" fontId="0" fillId="0" borderId="0" xfId="0" applyNumberFormat="1" applyFont="1"/>
    <xf numFmtId="8" fontId="0" fillId="0" borderId="0" xfId="0" applyNumberFormat="1"/>
    <xf numFmtId="43" fontId="2" fillId="0" borderId="0" xfId="0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26B5-9296-4DB2-B708-2A46C14D8C2C}">
  <dimension ref="A1:XFD66"/>
  <sheetViews>
    <sheetView tabSelected="1" topLeftCell="A6" zoomScale="85" zoomScaleNormal="85" workbookViewId="0">
      <pane xSplit="1" topLeftCell="I1" activePane="topRight" state="frozen"/>
      <selection pane="topRight" activeCell="T32" sqref="T32"/>
    </sheetView>
  </sheetViews>
  <sheetFormatPr defaultRowHeight="14.25" x14ac:dyDescent="0.2"/>
  <cols>
    <col min="1" max="1" width="35.5" bestFit="1" customWidth="1"/>
    <col min="2" max="2" width="11.125" bestFit="1" customWidth="1"/>
    <col min="4" max="4" width="9.375" bestFit="1" customWidth="1"/>
    <col min="5" max="5" width="9.5" bestFit="1" customWidth="1"/>
    <col min="8" max="8" width="9.375" bestFit="1" customWidth="1"/>
    <col min="9" max="9" width="9.5" bestFit="1" customWidth="1"/>
    <col min="10" max="10" width="11.125" bestFit="1" customWidth="1"/>
    <col min="14" max="14" width="11.125" bestFit="1" customWidth="1"/>
    <col min="16" max="16" width="23.875" bestFit="1" customWidth="1"/>
    <col min="17" max="17" width="13.25" bestFit="1" customWidth="1"/>
    <col min="18" max="18" width="12.75" bestFit="1" customWidth="1"/>
    <col min="19" max="19" width="35" bestFit="1" customWidth="1"/>
    <col min="20" max="20" width="13.25" bestFit="1" customWidth="1"/>
    <col min="21" max="22" width="10.25" bestFit="1" customWidth="1"/>
    <col min="23" max="23" width="13.25" bestFit="1" customWidth="1"/>
    <col min="24" max="33" width="10.25" bestFit="1" customWidth="1"/>
    <col min="34" max="35" width="11.25" bestFit="1" customWidth="1"/>
  </cols>
  <sheetData>
    <row r="1" spans="1:35 16384:16384" x14ac:dyDescent="0.2">
      <c r="B1" s="7">
        <v>44286</v>
      </c>
      <c r="C1" s="7">
        <v>44377</v>
      </c>
      <c r="D1" s="7">
        <v>44469</v>
      </c>
      <c r="E1" s="7">
        <v>44561</v>
      </c>
      <c r="F1" s="7">
        <v>44651</v>
      </c>
      <c r="G1" s="7">
        <v>44742</v>
      </c>
      <c r="H1" s="7">
        <v>44834</v>
      </c>
      <c r="I1" s="7">
        <v>44926</v>
      </c>
      <c r="J1" s="7">
        <v>45016</v>
      </c>
    </row>
    <row r="2" spans="1:35 16384:16384" x14ac:dyDescent="0.2">
      <c r="A2" t="s">
        <v>27</v>
      </c>
      <c r="B2" t="s">
        <v>19</v>
      </c>
      <c r="C2" t="s">
        <v>20</v>
      </c>
      <c r="D2" t="s">
        <v>21</v>
      </c>
      <c r="E2" t="s">
        <v>64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>
        <v>2021</v>
      </c>
      <c r="M2">
        <v>2022</v>
      </c>
      <c r="N2">
        <v>2023</v>
      </c>
      <c r="O2">
        <v>2024</v>
      </c>
      <c r="P2">
        <v>2025</v>
      </c>
      <c r="Q2">
        <v>2026</v>
      </c>
      <c r="R2">
        <v>2027</v>
      </c>
      <c r="S2">
        <v>2028</v>
      </c>
      <c r="T2">
        <v>2029</v>
      </c>
      <c r="U2">
        <v>2030</v>
      </c>
      <c r="V2">
        <v>2031</v>
      </c>
      <c r="W2">
        <v>2032</v>
      </c>
      <c r="X2">
        <v>2033</v>
      </c>
      <c r="Y2">
        <v>2034</v>
      </c>
      <c r="Z2">
        <v>2035</v>
      </c>
      <c r="AA2">
        <v>2036</v>
      </c>
      <c r="AB2">
        <v>2037</v>
      </c>
      <c r="AC2">
        <v>2038</v>
      </c>
      <c r="AD2">
        <v>2039</v>
      </c>
      <c r="AE2">
        <v>2040</v>
      </c>
      <c r="AF2">
        <v>2041</v>
      </c>
      <c r="AG2">
        <v>2042</v>
      </c>
      <c r="AH2">
        <v>2043</v>
      </c>
      <c r="AI2">
        <v>2044</v>
      </c>
    </row>
    <row r="3" spans="1:35 16384:16384" s="3" customFormat="1" ht="15" x14ac:dyDescent="0.25">
      <c r="A3" s="3" t="s">
        <v>6</v>
      </c>
      <c r="B3" s="4">
        <v>115168</v>
      </c>
      <c r="C3" s="4">
        <v>130646</v>
      </c>
      <c r="D3" s="4">
        <v>140084</v>
      </c>
      <c r="E3" s="4">
        <v>122491</v>
      </c>
      <c r="F3" s="4">
        <v>146023</v>
      </c>
      <c r="G3" s="4">
        <v>151343</v>
      </c>
      <c r="H3" s="4">
        <v>155595</v>
      </c>
      <c r="I3" s="4">
        <v>147659</v>
      </c>
      <c r="J3" s="4">
        <v>165305</v>
      </c>
      <c r="L3" s="9">
        <f>SUM(B3:E3)</f>
        <v>508389</v>
      </c>
      <c r="M3" s="9">
        <f>SUM(F3:I3)</f>
        <v>600620</v>
      </c>
      <c r="N3" s="9">
        <f>M3*1.15</f>
        <v>690713</v>
      </c>
      <c r="O3" s="9">
        <f>N3*1.15</f>
        <v>794319.95</v>
      </c>
      <c r="P3" s="9">
        <f>O3*1.15</f>
        <v>913467.94249999989</v>
      </c>
      <c r="Q3" s="9">
        <f>P3*1.15</f>
        <v>1050488.1338749998</v>
      </c>
      <c r="R3" s="9">
        <f>Q3*1.15</f>
        <v>1208061.3539562498</v>
      </c>
      <c r="S3" s="9">
        <f>R3*1.15</f>
        <v>1389270.557049687</v>
      </c>
      <c r="T3" s="9">
        <f>S3*1.15</f>
        <v>1597661.14060714</v>
      </c>
      <c r="U3" s="9">
        <f>T3*1.15</f>
        <v>1837310.3116982109</v>
      </c>
      <c r="V3" s="9">
        <f>U3*1.15</f>
        <v>2112906.8584529422</v>
      </c>
      <c r="W3" s="9">
        <f>V3*1.15</f>
        <v>2429842.8872208833</v>
      </c>
      <c r="X3" s="9">
        <f>W3*1.15</f>
        <v>2794319.3203040157</v>
      </c>
      <c r="Y3" s="9">
        <f>X3*1.15</f>
        <v>3213467.2183496179</v>
      </c>
      <c r="Z3" s="9">
        <f>Y3*1.15</f>
        <v>3695487.3011020604</v>
      </c>
      <c r="AA3" s="9">
        <f>Z3*1.15</f>
        <v>4249810.3962673694</v>
      </c>
      <c r="AB3" s="9">
        <f>AA3*1.15</f>
        <v>4887281.9557074746</v>
      </c>
      <c r="AC3" s="9">
        <f>AB3*1.15</f>
        <v>5620374.2490635952</v>
      </c>
      <c r="AD3" s="9">
        <f>AC3*1.15</f>
        <v>6463430.3864231342</v>
      </c>
      <c r="AE3" s="9">
        <f>AD3*1.15</f>
        <v>7432944.9443866042</v>
      </c>
      <c r="AF3" s="9">
        <f>AE3*1.15</f>
        <v>8547886.6860445943</v>
      </c>
      <c r="AG3" s="9">
        <f>AF3*1.15</f>
        <v>9830069.6889512818</v>
      </c>
      <c r="AH3" s="9">
        <f>AG3*1.15</f>
        <v>11304580.142293973</v>
      </c>
      <c r="AI3" s="9">
        <f>AH3*1.15</f>
        <v>13000267.163638068</v>
      </c>
      <c r="XFD3" s="9">
        <f>XFC3*1.15</f>
        <v>0</v>
      </c>
    </row>
    <row r="4" spans="1:35 16384:16384" x14ac:dyDescent="0.2">
      <c r="A4" t="s">
        <v>7</v>
      </c>
      <c r="B4" s="2">
        <v>80830</v>
      </c>
      <c r="C4" s="2">
        <v>92787</v>
      </c>
      <c r="D4" s="2">
        <v>98249</v>
      </c>
      <c r="E4" s="2">
        <v>83919</v>
      </c>
      <c r="F4" s="2">
        <v>102185</v>
      </c>
      <c r="G4" s="2">
        <v>104871</v>
      </c>
      <c r="H4" s="2">
        <v>107419</v>
      </c>
      <c r="I4" s="2">
        <v>102926</v>
      </c>
      <c r="J4" s="2">
        <v>118594</v>
      </c>
      <c r="L4" s="12">
        <f>SUM(B4:E4)</f>
        <v>355785</v>
      </c>
      <c r="M4" s="12">
        <f>SUM(F4:I4)</f>
        <v>417401</v>
      </c>
      <c r="N4" s="12"/>
    </row>
    <row r="5" spans="1:35 16384:16384" s="3" customFormat="1" ht="15" x14ac:dyDescent="0.25">
      <c r="A5" s="3" t="s">
        <v>8</v>
      </c>
      <c r="B5" s="4">
        <f xml:space="preserve"> B3-B4</f>
        <v>34338</v>
      </c>
      <c r="C5" s="4">
        <f xml:space="preserve"> C3-C4</f>
        <v>37859</v>
      </c>
      <c r="D5" s="4">
        <f xml:space="preserve"> D3-D4</f>
        <v>41835</v>
      </c>
      <c r="E5" s="4">
        <f xml:space="preserve"> E3-E4</f>
        <v>38572</v>
      </c>
      <c r="F5" s="4">
        <f xml:space="preserve"> F3-F4</f>
        <v>43838</v>
      </c>
      <c r="G5" s="4">
        <f xml:space="preserve"> G3-G4</f>
        <v>46472</v>
      </c>
      <c r="H5" s="4">
        <f xml:space="preserve"> H3-H4</f>
        <v>48176</v>
      </c>
      <c r="I5" s="4">
        <f xml:space="preserve"> I3-I4</f>
        <v>44733</v>
      </c>
      <c r="J5" s="4">
        <f xml:space="preserve"> J3-J4</f>
        <v>46711</v>
      </c>
      <c r="L5" s="9">
        <f>SUM(B5:E5)</f>
        <v>152604</v>
      </c>
      <c r="M5" s="9">
        <f>SUM(F5:I5)</f>
        <v>183219</v>
      </c>
      <c r="N5" s="9"/>
    </row>
    <row r="6" spans="1:35 16384:16384" x14ac:dyDescent="0.2">
      <c r="B6" s="2"/>
      <c r="C6" s="2"/>
      <c r="D6" s="2"/>
      <c r="E6" s="2"/>
      <c r="F6" s="2"/>
      <c r="G6" s="2"/>
      <c r="H6" s="2"/>
      <c r="I6" s="2"/>
      <c r="J6" s="2"/>
    </row>
    <row r="7" spans="1:35 16384:16384" x14ac:dyDescent="0.2">
      <c r="A7" t="s">
        <v>9</v>
      </c>
      <c r="B7" s="2">
        <v>11420</v>
      </c>
      <c r="C7" s="2">
        <v>3146</v>
      </c>
      <c r="D7" s="2">
        <v>7468</v>
      </c>
      <c r="E7" s="2">
        <v>5541</v>
      </c>
      <c r="F7" s="2">
        <v>4423</v>
      </c>
      <c r="G7" s="2">
        <v>7372</v>
      </c>
      <c r="H7" s="2">
        <v>5948</v>
      </c>
      <c r="I7" s="2">
        <v>20301</v>
      </c>
      <c r="J7" s="2">
        <v>8832</v>
      </c>
      <c r="L7" s="12">
        <f>SUM(B7:E7)</f>
        <v>27575</v>
      </c>
      <c r="M7" s="12">
        <f>SUM(F7:I7)</f>
        <v>38044</v>
      </c>
      <c r="N7" s="12"/>
    </row>
    <row r="8" spans="1:35 16384:16384" x14ac:dyDescent="0.2">
      <c r="A8" t="s">
        <v>10</v>
      </c>
      <c r="B8" s="2">
        <v>-15847</v>
      </c>
      <c r="C8" s="2">
        <v>-7966</v>
      </c>
      <c r="D8" s="2">
        <v>-13896</v>
      </c>
      <c r="E8" s="2">
        <v>-1135</v>
      </c>
      <c r="F8" s="2">
        <v>-3288</v>
      </c>
      <c r="G8" s="2">
        <v>-20344</v>
      </c>
      <c r="H8" s="2">
        <v>-20431</v>
      </c>
      <c r="I8" s="2">
        <v>-2177</v>
      </c>
      <c r="J8" s="2">
        <v>-2111</v>
      </c>
      <c r="L8" s="12">
        <f>SUM(B8:E8)</f>
        <v>-38844</v>
      </c>
      <c r="M8" s="12">
        <f>SUM(F8:I8)</f>
        <v>-46240</v>
      </c>
      <c r="N8" s="12"/>
    </row>
    <row r="9" spans="1:35 16384:16384" x14ac:dyDescent="0.2">
      <c r="A9" t="s">
        <v>11</v>
      </c>
      <c r="B9" s="2">
        <v>-3105</v>
      </c>
      <c r="C9" s="2">
        <v>-2637</v>
      </c>
      <c r="D9" s="2">
        <v>-3746</v>
      </c>
      <c r="E9" s="2">
        <v>-9085</v>
      </c>
      <c r="F9" s="2">
        <v>-11242</v>
      </c>
      <c r="G9" s="2">
        <v>-1985</v>
      </c>
      <c r="H9" s="2">
        <v>-2516</v>
      </c>
      <c r="I9" s="2">
        <v>-29630</v>
      </c>
      <c r="J9" s="2">
        <v>-20077</v>
      </c>
      <c r="L9" s="12">
        <f>SUM(B9:E9)</f>
        <v>-18573</v>
      </c>
      <c r="M9" s="12">
        <f>SUM(F9:I9)</f>
        <v>-45373</v>
      </c>
      <c r="N9" s="12"/>
    </row>
    <row r="10" spans="1:35 16384:16384" x14ac:dyDescent="0.2">
      <c r="A10" t="s">
        <v>13</v>
      </c>
      <c r="B10" s="2">
        <v>-82</v>
      </c>
      <c r="C10" s="2">
        <v>-32</v>
      </c>
      <c r="D10" s="2">
        <v>-53</v>
      </c>
      <c r="E10" s="2">
        <f>-1482-69</f>
        <v>-1551</v>
      </c>
      <c r="F10" s="2">
        <v>-179</v>
      </c>
      <c r="G10" s="2">
        <v>-95</v>
      </c>
      <c r="H10" s="2">
        <v>-66</v>
      </c>
      <c r="I10" s="2">
        <v>4496</v>
      </c>
      <c r="J10" s="2">
        <v>-100</v>
      </c>
      <c r="L10" s="12">
        <f>SUM(B10:E10)</f>
        <v>-1718</v>
      </c>
      <c r="M10" s="12">
        <f>SUM(F10:I10)</f>
        <v>4156</v>
      </c>
      <c r="N10" s="12"/>
    </row>
    <row r="11" spans="1:35 16384:16384" x14ac:dyDescent="0.2">
      <c r="B11" s="2"/>
      <c r="C11" s="2"/>
      <c r="D11" s="2"/>
      <c r="E11" s="2"/>
      <c r="F11" s="2"/>
      <c r="G11" s="2"/>
      <c r="H11" s="2"/>
      <c r="I11" s="2"/>
      <c r="J11" s="2"/>
    </row>
    <row r="12" spans="1:35 16384:16384" s="3" customFormat="1" ht="15" x14ac:dyDescent="0.25">
      <c r="A12" s="3" t="s">
        <v>12</v>
      </c>
      <c r="B12" s="4">
        <f>B5 + SUM(B7:B10)</f>
        <v>26724</v>
      </c>
      <c r="C12" s="4">
        <f>C5 + SUM(C7:C10)</f>
        <v>30370</v>
      </c>
      <c r="D12" s="4">
        <f>D5 + SUM(D7:D10)</f>
        <v>31608</v>
      </c>
      <c r="E12" s="4">
        <f>E5 + SUM(E7:E10)</f>
        <v>32342</v>
      </c>
      <c r="F12" s="4">
        <f>F5 + SUM(F7:F10)</f>
        <v>33552</v>
      </c>
      <c r="G12" s="4">
        <f>G5 + SUM(G7:G10)</f>
        <v>31420</v>
      </c>
      <c r="H12" s="4">
        <f>H5 + SUM(H7:H10)</f>
        <v>31111</v>
      </c>
      <c r="I12" s="4">
        <f>I5 + SUM(I7:I10)</f>
        <v>37723</v>
      </c>
      <c r="J12" s="4">
        <f>J5 + SUM(J7:J10)</f>
        <v>33255</v>
      </c>
      <c r="L12" s="9">
        <f>SUM(B12:E12)</f>
        <v>121044</v>
      </c>
      <c r="M12" s="9">
        <f>SUM(F12:I12)</f>
        <v>133806</v>
      </c>
      <c r="N12" s="9"/>
    </row>
    <row r="13" spans="1:35 16384:16384" x14ac:dyDescent="0.2">
      <c r="B13" s="2"/>
      <c r="C13" s="2"/>
      <c r="D13" s="2"/>
      <c r="E13" s="2"/>
      <c r="F13" s="2"/>
      <c r="G13" s="2"/>
      <c r="H13" s="2"/>
      <c r="I13" s="2"/>
      <c r="J13" s="2"/>
    </row>
    <row r="14" spans="1:35 16384:16384" x14ac:dyDescent="0.2">
      <c r="A14" t="s">
        <v>14</v>
      </c>
      <c r="B14" s="2">
        <v>-24</v>
      </c>
      <c r="C14" s="2">
        <v>-23</v>
      </c>
      <c r="D14" s="2">
        <v>-23</v>
      </c>
      <c r="E14" s="2">
        <v>-22</v>
      </c>
      <c r="F14" s="2">
        <v>-21</v>
      </c>
      <c r="G14" s="2">
        <v>-20</v>
      </c>
      <c r="H14" s="2">
        <v>-19</v>
      </c>
      <c r="I14" s="2">
        <v>-27</v>
      </c>
      <c r="J14" s="2">
        <v>0</v>
      </c>
      <c r="L14" s="12">
        <f>SUM(B14:E14)</f>
        <v>-92</v>
      </c>
      <c r="M14" s="12">
        <f>SUM(F14:I14)</f>
        <v>-87</v>
      </c>
      <c r="N14" s="12"/>
    </row>
    <row r="15" spans="1:35 16384:16384" x14ac:dyDescent="0.2">
      <c r="A15" t="s">
        <v>15</v>
      </c>
      <c r="B15" s="2">
        <v>-125</v>
      </c>
      <c r="C15" s="2">
        <v>-428</v>
      </c>
      <c r="D15" s="2">
        <v>-408</v>
      </c>
      <c r="E15" s="2">
        <v>-524</v>
      </c>
      <c r="F15" s="2">
        <v>-214</v>
      </c>
      <c r="G15" s="2">
        <v>-246</v>
      </c>
      <c r="H15" s="2">
        <v>-405</v>
      </c>
      <c r="I15" s="2">
        <v>-771</v>
      </c>
      <c r="J15" s="2">
        <v>1051</v>
      </c>
      <c r="L15" s="12">
        <f>SUM(B15:E15)</f>
        <v>-1485</v>
      </c>
      <c r="M15" s="12">
        <f>SUM(F15:I15)</f>
        <v>-1636</v>
      </c>
      <c r="N15" s="12"/>
    </row>
    <row r="16" spans="1:35 16384:16384" x14ac:dyDescent="0.2">
      <c r="B16" s="2"/>
      <c r="C16" s="2"/>
      <c r="D16" s="2"/>
      <c r="E16" s="2"/>
      <c r="F16" s="2"/>
      <c r="G16" s="2"/>
      <c r="H16" s="2"/>
      <c r="I16" s="2"/>
      <c r="J16" s="2"/>
    </row>
    <row r="17" spans="1:37" ht="15" x14ac:dyDescent="0.25">
      <c r="A17" t="s">
        <v>16</v>
      </c>
      <c r="B17" s="2">
        <f xml:space="preserve"> B12 + B15 +B14</f>
        <v>26575</v>
      </c>
      <c r="C17" s="2">
        <f xml:space="preserve"> C12 + C15 +C14</f>
        <v>29919</v>
      </c>
      <c r="D17" s="2">
        <f xml:space="preserve"> D12 + D15 +D14</f>
        <v>31177</v>
      </c>
      <c r="E17" s="2">
        <f xml:space="preserve"> E12 + E15 +E14</f>
        <v>31796</v>
      </c>
      <c r="F17" s="2">
        <f xml:space="preserve"> F12 + F15 +F14</f>
        <v>33317</v>
      </c>
      <c r="G17" s="2">
        <f xml:space="preserve"> G12 + G15 +G14</f>
        <v>31154</v>
      </c>
      <c r="H17" s="2">
        <f xml:space="preserve"> H12 + H15 +H14</f>
        <v>30687</v>
      </c>
      <c r="I17" s="2">
        <f xml:space="preserve"> I12 + I15 +I14</f>
        <v>36925</v>
      </c>
      <c r="J17" s="2">
        <f xml:space="preserve"> J12 + J15</f>
        <v>34306</v>
      </c>
      <c r="L17" s="9">
        <f>SUM(B17:E17)</f>
        <v>119467</v>
      </c>
      <c r="M17" s="12">
        <f>SUM(F17:I17)</f>
        <v>132083</v>
      </c>
      <c r="N17" s="12"/>
    </row>
    <row r="18" spans="1:37" x14ac:dyDescent="0.2">
      <c r="B18" s="2"/>
      <c r="C18" s="2"/>
      <c r="D18" s="2"/>
      <c r="E18" s="2"/>
      <c r="F18" s="2"/>
      <c r="G18" s="2"/>
      <c r="H18" s="2"/>
      <c r="I18" s="2"/>
      <c r="J18" s="2"/>
    </row>
    <row r="19" spans="1:37" x14ac:dyDescent="0.2">
      <c r="A19" t="s">
        <v>17</v>
      </c>
      <c r="B19" s="2">
        <v>720</v>
      </c>
      <c r="C19" s="2">
        <v>1215</v>
      </c>
      <c r="D19" s="2">
        <v>944</v>
      </c>
      <c r="E19" s="2">
        <v>950</v>
      </c>
      <c r="F19" s="2">
        <v>944</v>
      </c>
      <c r="G19" s="2">
        <v>718</v>
      </c>
      <c r="H19" s="2">
        <v>-1098</v>
      </c>
      <c r="I19" s="2">
        <v>980</v>
      </c>
      <c r="J19" s="2">
        <v>641</v>
      </c>
      <c r="L19" s="12">
        <f>SUM(B19:E19)</f>
        <v>3829</v>
      </c>
      <c r="M19" s="12">
        <f>SUM(F19:I19)</f>
        <v>1544</v>
      </c>
      <c r="N19" s="12"/>
    </row>
    <row r="20" spans="1:37" s="3" customFormat="1" ht="15" x14ac:dyDescent="0.25">
      <c r="A20" s="3" t="s">
        <v>18</v>
      </c>
      <c r="B20" s="4">
        <f xml:space="preserve">  B17-B19</f>
        <v>25855</v>
      </c>
      <c r="C20" s="4">
        <f xml:space="preserve">  C17-C19</f>
        <v>28704</v>
      </c>
      <c r="D20" s="4">
        <f xml:space="preserve">  D17-D19</f>
        <v>30233</v>
      </c>
      <c r="E20" s="4">
        <f xml:space="preserve">  E17-E19</f>
        <v>30846</v>
      </c>
      <c r="F20" s="4">
        <f xml:space="preserve">  F17-F19</f>
        <v>32373</v>
      </c>
      <c r="G20" s="4">
        <f xml:space="preserve">  G17-G19</f>
        <v>30436</v>
      </c>
      <c r="H20" s="4">
        <f xml:space="preserve">  H17-H19</f>
        <v>31785</v>
      </c>
      <c r="I20" s="4">
        <f xml:space="preserve">  I17-I19</f>
        <v>35945</v>
      </c>
      <c r="J20" s="4">
        <f xml:space="preserve">  J17-J19</f>
        <v>33665</v>
      </c>
      <c r="L20" s="9">
        <f>SUM(B20:E20)</f>
        <v>115638</v>
      </c>
      <c r="M20" s="9">
        <f>SUM(F20:I20)</f>
        <v>130539</v>
      </c>
      <c r="N20" s="9">
        <f xml:space="preserve"> N3*N24</f>
        <v>138142.6</v>
      </c>
      <c r="O20" s="9">
        <f xml:space="preserve"> O3*O24</f>
        <v>158863.99</v>
      </c>
      <c r="P20" s="9">
        <f xml:space="preserve"> P3*P24</f>
        <v>182693.58849999998</v>
      </c>
      <c r="Q20" s="9">
        <f xml:space="preserve"> Q3*Q24</f>
        <v>210097.62677499998</v>
      </c>
      <c r="R20" s="9">
        <f xml:space="preserve"> R3*R24</f>
        <v>241612.27079124996</v>
      </c>
      <c r="S20" s="9">
        <f xml:space="preserve"> S3*S24</f>
        <v>277854.11140993744</v>
      </c>
      <c r="T20" s="9">
        <f xml:space="preserve"> T3*T24</f>
        <v>319532.22812142805</v>
      </c>
      <c r="U20" s="9">
        <f xml:space="preserve"> U3*U24</f>
        <v>367462.0623396422</v>
      </c>
      <c r="V20" s="9">
        <f xml:space="preserve"> V3*V24</f>
        <v>422581.37169058848</v>
      </c>
      <c r="W20" s="9">
        <f xml:space="preserve"> W3*W24</f>
        <v>485968.57744417666</v>
      </c>
      <c r="X20" s="9">
        <f xml:space="preserve"> X3*X24</f>
        <v>558863.8640608032</v>
      </c>
      <c r="Y20" s="9">
        <f xml:space="preserve"> Y3*Y24</f>
        <v>642693.44366992358</v>
      </c>
      <c r="Z20" s="9">
        <f xml:space="preserve"> Z3*Z24</f>
        <v>739097.46022041212</v>
      </c>
      <c r="AA20" s="9">
        <f xml:space="preserve"> AA3*AA24</f>
        <v>849962.0792534739</v>
      </c>
      <c r="AB20" s="9">
        <f xml:space="preserve"> AB3*AB24</f>
        <v>977456.39114149497</v>
      </c>
      <c r="AC20" s="9">
        <f xml:space="preserve"> AC3*AC24</f>
        <v>1124074.849812719</v>
      </c>
      <c r="AD20" s="9">
        <f xml:space="preserve"> AD3*AD24</f>
        <v>1292686.0772846269</v>
      </c>
      <c r="AE20" s="9">
        <f xml:space="preserve"> AE3*AE24</f>
        <v>1486588.9888773209</v>
      </c>
      <c r="AF20" s="9">
        <f xml:space="preserve"> AF3*AF24</f>
        <v>1709577.337208919</v>
      </c>
      <c r="AG20" s="9">
        <f xml:space="preserve"> AG3*AG24</f>
        <v>1966013.9377902565</v>
      </c>
      <c r="AH20" s="9">
        <f xml:space="preserve"> AH3*AH24</f>
        <v>2260916.0284587946</v>
      </c>
      <c r="AI20" s="9">
        <f xml:space="preserve"> AI3*AI24</f>
        <v>2600053.432727614</v>
      </c>
      <c r="AJ20" s="9">
        <f xml:space="preserve"> AJ3*AJ24</f>
        <v>0</v>
      </c>
      <c r="AK20" s="9">
        <f xml:space="preserve"> AK3*AK24</f>
        <v>0</v>
      </c>
    </row>
    <row r="22" spans="1:37" x14ac:dyDescent="0.2">
      <c r="A22" t="s">
        <v>28</v>
      </c>
      <c r="B22" s="6">
        <f t="shared" ref="B22:J22" si="0" xml:space="preserve"> B5/B3</f>
        <v>0.29815573770491804</v>
      </c>
      <c r="C22" s="6">
        <f t="shared" si="0"/>
        <v>0.28978307793579594</v>
      </c>
      <c r="D22" s="6">
        <f t="shared" si="0"/>
        <v>0.29864224322549326</v>
      </c>
      <c r="E22" s="6">
        <f t="shared" si="0"/>
        <v>0.31489660464850477</v>
      </c>
      <c r="F22" s="6">
        <f t="shared" si="0"/>
        <v>0.30021298014696313</v>
      </c>
      <c r="G22" s="6">
        <f t="shared" si="0"/>
        <v>0.30706408621475723</v>
      </c>
      <c r="H22" s="6">
        <f t="shared" si="0"/>
        <v>0.30962434525531024</v>
      </c>
      <c r="I22" s="6">
        <f t="shared" si="0"/>
        <v>0.30294800858735327</v>
      </c>
      <c r="J22" s="6">
        <f xml:space="preserve"> J5/J3</f>
        <v>0.28257463476603856</v>
      </c>
      <c r="L22" s="6">
        <f xml:space="preserve"> L5/L3</f>
        <v>0.30017171890029093</v>
      </c>
      <c r="M22" s="6">
        <f xml:space="preserve"> M5/M3</f>
        <v>0.3050497818920449</v>
      </c>
    </row>
    <row r="23" spans="1:37" x14ac:dyDescent="0.2">
      <c r="A23" t="s">
        <v>29</v>
      </c>
      <c r="B23" s="6">
        <f t="shared" ref="B23:J23" si="1">B12/B3</f>
        <v>0.23204362322867464</v>
      </c>
      <c r="C23" s="6">
        <f t="shared" si="1"/>
        <v>0.23246023605774382</v>
      </c>
      <c r="D23" s="6">
        <f t="shared" si="1"/>
        <v>0.22563604694326261</v>
      </c>
      <c r="E23" s="6">
        <f t="shared" si="1"/>
        <v>0.2640357250736789</v>
      </c>
      <c r="F23" s="6">
        <f t="shared" si="1"/>
        <v>0.22977202221567836</v>
      </c>
      <c r="G23" s="6">
        <f t="shared" si="1"/>
        <v>0.2076078840778893</v>
      </c>
      <c r="H23" s="6">
        <f t="shared" si="1"/>
        <v>0.19994858446608182</v>
      </c>
      <c r="I23" s="6">
        <f t="shared" si="1"/>
        <v>0.25547376048869352</v>
      </c>
      <c r="J23" s="6">
        <f>J12/J3</f>
        <v>0.20117358821572245</v>
      </c>
      <c r="L23" s="6">
        <f>L12/L3</f>
        <v>0.2380932710975257</v>
      </c>
      <c r="M23" s="6">
        <f>M12/M3</f>
        <v>0.22277979421264693</v>
      </c>
    </row>
    <row r="24" spans="1:37" x14ac:dyDescent="0.2">
      <c r="A24" t="s">
        <v>30</v>
      </c>
      <c r="B24" s="6">
        <f t="shared" ref="B24:J24" si="2">B20/B3</f>
        <v>0.22449812447902195</v>
      </c>
      <c r="C24" s="6">
        <f t="shared" si="2"/>
        <v>0.21970821915711158</v>
      </c>
      <c r="D24" s="6">
        <f t="shared" si="2"/>
        <v>0.21582050769538277</v>
      </c>
      <c r="E24" s="6">
        <f t="shared" si="2"/>
        <v>0.25182258288364046</v>
      </c>
      <c r="F24" s="6">
        <f t="shared" si="2"/>
        <v>0.22169795169254158</v>
      </c>
      <c r="G24" s="6">
        <f t="shared" si="2"/>
        <v>0.20110609674712407</v>
      </c>
      <c r="H24" s="6">
        <f t="shared" si="2"/>
        <v>0.2042803431986889</v>
      </c>
      <c r="I24" s="6">
        <f t="shared" si="2"/>
        <v>0.243432503267664</v>
      </c>
      <c r="J24" s="6">
        <f>J20/J3</f>
        <v>0.20365385197059979</v>
      </c>
      <c r="L24" s="6">
        <f xml:space="preserve"> L7/L5</f>
        <v>0.18069644308143953</v>
      </c>
      <c r="M24" s="6">
        <f>M20/M3</f>
        <v>0.21734041490459857</v>
      </c>
      <c r="N24" s="11">
        <v>0.2</v>
      </c>
      <c r="O24" s="11">
        <v>0.2</v>
      </c>
      <c r="P24" s="11">
        <v>0.2</v>
      </c>
      <c r="Q24" s="11">
        <v>0.2</v>
      </c>
      <c r="R24" s="11">
        <v>0.2</v>
      </c>
      <c r="S24" s="11">
        <v>0.2</v>
      </c>
      <c r="T24" s="11">
        <v>0.2</v>
      </c>
      <c r="U24" s="11">
        <v>0.2</v>
      </c>
      <c r="V24" s="11">
        <v>0.2</v>
      </c>
      <c r="W24" s="11">
        <v>0.2</v>
      </c>
      <c r="X24" s="11">
        <v>0.2</v>
      </c>
      <c r="Y24" s="11">
        <v>0.2</v>
      </c>
      <c r="Z24" s="11">
        <v>0.2</v>
      </c>
      <c r="AA24" s="11">
        <v>0.2</v>
      </c>
      <c r="AB24" s="11">
        <v>0.2</v>
      </c>
      <c r="AC24" s="11">
        <v>0.2</v>
      </c>
      <c r="AD24" s="11">
        <v>0.2</v>
      </c>
      <c r="AE24" s="11">
        <v>0.2</v>
      </c>
      <c r="AF24" s="11">
        <v>0.2</v>
      </c>
      <c r="AG24" s="11">
        <v>0.2</v>
      </c>
      <c r="AH24" s="11">
        <v>0.2</v>
      </c>
      <c r="AI24" s="11">
        <v>0.2</v>
      </c>
      <c r="AJ24" s="11">
        <v>0.2</v>
      </c>
    </row>
    <row r="26" spans="1:37" x14ac:dyDescent="0.2">
      <c r="A26" t="s">
        <v>31</v>
      </c>
      <c r="B26" s="11" t="e">
        <f xml:space="preserve"> B3/#REF! -1</f>
        <v>#REF!</v>
      </c>
      <c r="C26" s="11" t="e">
        <f xml:space="preserve"> C3/#REF! -1</f>
        <v>#REF!</v>
      </c>
      <c r="D26" s="11" t="e">
        <f xml:space="preserve"> D3/#REF! -1</f>
        <v>#REF!</v>
      </c>
      <c r="E26" s="11" t="e">
        <f xml:space="preserve"> E3/A3 -1</f>
        <v>#VALUE!</v>
      </c>
      <c r="F26" s="11">
        <f xml:space="preserve"> F3/B3 -1</f>
        <v>0.26791296193387049</v>
      </c>
      <c r="G26" s="11">
        <f xml:space="preserve"> G3/C3 -1</f>
        <v>0.15842046446121572</v>
      </c>
      <c r="H26" s="11">
        <f xml:space="preserve"> H3/D3 -1</f>
        <v>0.11072642129008314</v>
      </c>
      <c r="I26" s="11">
        <f xml:space="preserve"> I3/E3 -1</f>
        <v>0.2054681568441763</v>
      </c>
      <c r="J26" s="11">
        <f xml:space="preserve"> J3/F3 -1</f>
        <v>0.13204769111715287</v>
      </c>
    </row>
    <row r="27" spans="1:37" x14ac:dyDescent="0.2">
      <c r="A27" t="s">
        <v>32</v>
      </c>
      <c r="B27" s="11" t="e">
        <f>B20/#REF! - 1</f>
        <v>#REF!</v>
      </c>
      <c r="C27" s="11" t="e">
        <f>C20/#REF! - 1</f>
        <v>#REF!</v>
      </c>
      <c r="D27" s="11" t="e">
        <f>D20/#REF! - 1</f>
        <v>#REF!</v>
      </c>
      <c r="E27" s="11" t="e">
        <f>E20/A20 - 1</f>
        <v>#VALUE!</v>
      </c>
      <c r="F27" s="11">
        <f>F20/B20 - 1</f>
        <v>0.25209824018565063</v>
      </c>
      <c r="G27" s="11">
        <f>G20/C20 - 1</f>
        <v>6.0340022296544005E-2</v>
      </c>
      <c r="H27" s="11">
        <f>H20/D20 - 1</f>
        <v>5.1334634339959662E-2</v>
      </c>
      <c r="I27" s="11">
        <f>I20/E20 - 1</f>
        <v>0.16530506386565524</v>
      </c>
      <c r="J27" s="11">
        <f>J20/F20 - 1</f>
        <v>3.990980137769129E-2</v>
      </c>
    </row>
    <row r="29" spans="1:37" x14ac:dyDescent="0.2">
      <c r="A29" t="s">
        <v>33</v>
      </c>
    </row>
    <row r="30" spans="1:37" ht="15" x14ac:dyDescent="0.25">
      <c r="A30" t="s">
        <v>36</v>
      </c>
      <c r="P30" s="3" t="s">
        <v>68</v>
      </c>
      <c r="S30" s="3" t="s">
        <v>71</v>
      </c>
      <c r="V30" s="3" t="s">
        <v>69</v>
      </c>
    </row>
    <row r="31" spans="1:37" s="3" customFormat="1" ht="15" x14ac:dyDescent="0.25">
      <c r="A31" s="3" t="s">
        <v>34</v>
      </c>
      <c r="M31" t="s">
        <v>0</v>
      </c>
      <c r="N31">
        <v>5.29</v>
      </c>
      <c r="P31" s="5" t="s">
        <v>65</v>
      </c>
      <c r="Q31" s="6">
        <v>0.1</v>
      </c>
      <c r="S31" s="5" t="s">
        <v>65</v>
      </c>
      <c r="T31" s="6">
        <v>0.1</v>
      </c>
      <c r="V31" s="5" t="s">
        <v>65</v>
      </c>
      <c r="W31" s="6">
        <v>0.1</v>
      </c>
    </row>
    <row r="32" spans="1:37" s="3" customFormat="1" ht="15" x14ac:dyDescent="0.25">
      <c r="A32" s="3" t="s">
        <v>35</v>
      </c>
      <c r="M32" t="s">
        <v>1</v>
      </c>
      <c r="N32" s="2">
        <v>711317.12100000004</v>
      </c>
      <c r="P32" s="5" t="s">
        <v>66</v>
      </c>
      <c r="Q32" s="14">
        <f>NPV(Q31,N20:AK20)</f>
        <v>4583488.1916008359</v>
      </c>
      <c r="S32" s="5" t="s">
        <v>70</v>
      </c>
      <c r="T32" s="14">
        <f>NPV(T31,Q40:AI40)</f>
        <v>1763756.5407429929</v>
      </c>
      <c r="V32" s="5" t="s">
        <v>70</v>
      </c>
      <c r="W32" s="13">
        <f>NPV(W31,Q43:AI43)</f>
        <v>2488850.661157025</v>
      </c>
    </row>
    <row r="33" spans="1:35" x14ac:dyDescent="0.2">
      <c r="A33" t="s">
        <v>37</v>
      </c>
      <c r="B33" s="2">
        <v>186123</v>
      </c>
      <c r="C33" s="2"/>
      <c r="D33" s="2"/>
      <c r="E33" s="2"/>
      <c r="F33" s="2"/>
      <c r="G33" s="2"/>
      <c r="H33" s="2"/>
      <c r="I33" s="2"/>
      <c r="J33" s="1"/>
      <c r="M33" t="s">
        <v>2</v>
      </c>
      <c r="N33" s="2">
        <f xml:space="preserve"> N32*N31</f>
        <v>3762867.5700900001</v>
      </c>
    </row>
    <row r="34" spans="1:35" x14ac:dyDescent="0.2">
      <c r="A34" t="s">
        <v>38</v>
      </c>
      <c r="B34" s="2">
        <v>22744</v>
      </c>
      <c r="C34" s="2"/>
      <c r="D34" s="2"/>
      <c r="E34" s="2"/>
      <c r="F34" s="2"/>
      <c r="G34" s="2"/>
      <c r="H34" s="2"/>
      <c r="I34" s="2"/>
      <c r="J34" s="1"/>
      <c r="M34" t="s">
        <v>3</v>
      </c>
      <c r="N34" s="2">
        <v>395089</v>
      </c>
      <c r="P34" t="s">
        <v>67</v>
      </c>
      <c r="Q34" s="15">
        <f xml:space="preserve"> Q32 +N34 - N35</f>
        <v>4885577.1916008359</v>
      </c>
      <c r="T34" s="15">
        <f xml:space="preserve"> T32 +N34 - N35</f>
        <v>2065845.5407429929</v>
      </c>
      <c r="W34" s="15">
        <f xml:space="preserve"> W32 +N34 - N35</f>
        <v>2790939.661157025</v>
      </c>
    </row>
    <row r="35" spans="1:35" x14ac:dyDescent="0.2">
      <c r="A35" t="s">
        <v>39</v>
      </c>
      <c r="B35" s="2">
        <v>4495</v>
      </c>
      <c r="C35" s="2"/>
      <c r="D35" s="2"/>
      <c r="E35" s="2"/>
      <c r="F35" s="2"/>
      <c r="G35" s="2"/>
      <c r="H35" s="2"/>
      <c r="I35" s="2"/>
      <c r="J35" s="1"/>
      <c r="M35" s="5" t="s">
        <v>4</v>
      </c>
      <c r="N35" s="10">
        <v>93000</v>
      </c>
    </row>
    <row r="36" spans="1:35" x14ac:dyDescent="0.2">
      <c r="A36" t="s">
        <v>40</v>
      </c>
      <c r="B36" s="2">
        <v>41130</v>
      </c>
      <c r="C36" s="2"/>
      <c r="D36" s="2"/>
      <c r="E36" s="2"/>
      <c r="F36" s="2"/>
      <c r="G36" s="2"/>
      <c r="H36" s="2"/>
      <c r="I36" s="2"/>
      <c r="J36" s="1"/>
      <c r="M36" t="s">
        <v>5</v>
      </c>
      <c r="N36" s="2">
        <f xml:space="preserve"> N33 - N34 + N35</f>
        <v>3460778.5700900001</v>
      </c>
    </row>
    <row r="37" spans="1:35" x14ac:dyDescent="0.2">
      <c r="A37" t="s">
        <v>41</v>
      </c>
      <c r="B37" s="2">
        <v>21121</v>
      </c>
      <c r="C37" s="2"/>
      <c r="D37" s="2"/>
      <c r="E37" s="2"/>
      <c r="F37" s="2"/>
      <c r="G37" s="2"/>
      <c r="H37" s="2"/>
      <c r="I37" s="2"/>
      <c r="J37" s="1"/>
    </row>
    <row r="38" spans="1:35" x14ac:dyDescent="0.2">
      <c r="A38" t="s">
        <v>42</v>
      </c>
      <c r="B38" s="2">
        <v>6117</v>
      </c>
      <c r="C38" s="2"/>
      <c r="D38" s="2"/>
      <c r="E38" s="2"/>
      <c r="F38" s="2"/>
      <c r="G38" s="2"/>
      <c r="H38" s="2"/>
      <c r="I38" s="2"/>
      <c r="J38" s="1"/>
      <c r="N38">
        <v>1.373</v>
      </c>
    </row>
    <row r="39" spans="1:35" x14ac:dyDescent="0.2">
      <c r="B39" s="2"/>
      <c r="C39" s="2"/>
      <c r="D39" s="2"/>
      <c r="E39" s="2"/>
      <c r="F39" s="2"/>
      <c r="G39" s="2"/>
      <c r="H39" s="2"/>
      <c r="I39" s="2"/>
      <c r="J39" s="1"/>
      <c r="N39">
        <v>3.762</v>
      </c>
    </row>
    <row r="40" spans="1:35" s="3" customFormat="1" ht="15" x14ac:dyDescent="0.25">
      <c r="A40" s="3" t="s">
        <v>43</v>
      </c>
      <c r="B40" s="4"/>
      <c r="C40" s="4"/>
      <c r="D40" s="4"/>
      <c r="E40" s="4"/>
      <c r="F40" s="4"/>
      <c r="G40" s="4"/>
      <c r="H40" s="4"/>
      <c r="I40" s="4"/>
      <c r="J40" s="8"/>
      <c r="N40" s="17">
        <f xml:space="preserve"> 1 - N38/N39</f>
        <v>0.63503455608718773</v>
      </c>
      <c r="Q40" s="12">
        <v>138143</v>
      </c>
      <c r="R40" s="12">
        <v>158864</v>
      </c>
      <c r="S40" s="16">
        <f>R40*1.05</f>
        <v>166807.20000000001</v>
      </c>
      <c r="T40" s="16">
        <f>S40*1.05</f>
        <v>175147.56000000003</v>
      </c>
      <c r="U40" s="16">
        <f t="shared" ref="U40:AI40" si="3">T40*1.05</f>
        <v>183904.93800000002</v>
      </c>
      <c r="V40" s="16">
        <f t="shared" si="3"/>
        <v>193100.18490000002</v>
      </c>
      <c r="W40" s="16">
        <f t="shared" si="3"/>
        <v>202755.19414500004</v>
      </c>
      <c r="X40" s="16">
        <f t="shared" si="3"/>
        <v>212892.95385225007</v>
      </c>
      <c r="Y40" s="16">
        <f t="shared" si="3"/>
        <v>223537.60154486258</v>
      </c>
      <c r="Z40" s="16">
        <f t="shared" si="3"/>
        <v>234714.48162210573</v>
      </c>
      <c r="AA40" s="16">
        <f t="shared" si="3"/>
        <v>246450.20570321102</v>
      </c>
      <c r="AB40" s="16">
        <f t="shared" si="3"/>
        <v>258772.71598837158</v>
      </c>
      <c r="AC40" s="16">
        <f t="shared" si="3"/>
        <v>271711.35178779019</v>
      </c>
      <c r="AD40" s="16">
        <f t="shared" si="3"/>
        <v>285296.9193771797</v>
      </c>
      <c r="AE40" s="16">
        <f t="shared" si="3"/>
        <v>299561.76534603868</v>
      </c>
      <c r="AF40" s="16">
        <f t="shared" si="3"/>
        <v>314539.85361334065</v>
      </c>
      <c r="AG40" s="16">
        <f t="shared" si="3"/>
        <v>330266.84629400767</v>
      </c>
      <c r="AH40" s="16">
        <f t="shared" si="3"/>
        <v>346780.18860870809</v>
      </c>
      <c r="AI40" s="16">
        <f t="shared" si="3"/>
        <v>364119.19803914352</v>
      </c>
    </row>
    <row r="41" spans="1:35" x14ac:dyDescent="0.2">
      <c r="A41" t="s">
        <v>44</v>
      </c>
      <c r="B41" s="2">
        <v>188907</v>
      </c>
      <c r="C41" s="2"/>
      <c r="D41" s="2"/>
      <c r="E41" s="2"/>
      <c r="F41" s="2"/>
      <c r="G41" s="2"/>
      <c r="H41" s="2"/>
      <c r="I41" s="2"/>
      <c r="J41" s="1"/>
    </row>
    <row r="42" spans="1:35" x14ac:dyDescent="0.2">
      <c r="A42" t="s">
        <v>45</v>
      </c>
      <c r="B42" s="2">
        <v>234549</v>
      </c>
      <c r="C42" s="2"/>
      <c r="D42" s="2"/>
      <c r="E42" s="2"/>
      <c r="F42" s="2"/>
      <c r="G42" s="2"/>
      <c r="H42" s="2"/>
      <c r="I42" s="2"/>
      <c r="J42" s="1"/>
    </row>
    <row r="43" spans="1:35" ht="15" x14ac:dyDescent="0.25">
      <c r="A43" t="s">
        <v>46</v>
      </c>
      <c r="B43" s="2">
        <v>71636</v>
      </c>
      <c r="C43" s="2"/>
      <c r="D43" s="2"/>
      <c r="E43" s="2"/>
      <c r="F43" s="2"/>
      <c r="G43" s="2"/>
      <c r="H43" s="2"/>
      <c r="I43" s="2"/>
      <c r="J43" s="1"/>
      <c r="Q43" s="12">
        <v>138143</v>
      </c>
      <c r="R43" s="12">
        <v>158864</v>
      </c>
      <c r="S43" s="16">
        <f xml:space="preserve"> R43*1.1</f>
        <v>174750.40000000002</v>
      </c>
      <c r="T43" s="16">
        <f xml:space="preserve"> S43*1.1</f>
        <v>192225.44000000003</v>
      </c>
      <c r="U43" s="16">
        <f t="shared" ref="U43:AI43" si="4" xml:space="preserve"> T43*1.1</f>
        <v>211447.98400000005</v>
      </c>
      <c r="V43" s="16">
        <f t="shared" si="4"/>
        <v>232592.78240000008</v>
      </c>
      <c r="W43" s="16">
        <f t="shared" si="4"/>
        <v>255852.06064000013</v>
      </c>
      <c r="X43" s="16">
        <f t="shared" si="4"/>
        <v>281437.26670400018</v>
      </c>
      <c r="Y43" s="16">
        <f t="shared" si="4"/>
        <v>309580.99337440025</v>
      </c>
      <c r="Z43" s="16">
        <f t="shared" si="4"/>
        <v>340539.09271184029</v>
      </c>
      <c r="AA43" s="16">
        <f t="shared" si="4"/>
        <v>374593.00198302435</v>
      </c>
      <c r="AB43" s="16">
        <f t="shared" si="4"/>
        <v>412052.30218132684</v>
      </c>
      <c r="AC43" s="16">
        <f t="shared" si="4"/>
        <v>453257.53239945957</v>
      </c>
      <c r="AD43" s="16">
        <f t="shared" si="4"/>
        <v>498583.28563940554</v>
      </c>
      <c r="AE43" s="16">
        <f t="shared" si="4"/>
        <v>548441.61420334619</v>
      </c>
      <c r="AF43" s="16">
        <f t="shared" si="4"/>
        <v>603285.77562368091</v>
      </c>
      <c r="AG43" s="16">
        <f t="shared" si="4"/>
        <v>663614.35318604903</v>
      </c>
      <c r="AH43" s="16">
        <f t="shared" si="4"/>
        <v>729975.78850465396</v>
      </c>
      <c r="AI43" s="16">
        <f t="shared" si="4"/>
        <v>802973.36735511944</v>
      </c>
    </row>
    <row r="44" spans="1:35" x14ac:dyDescent="0.2">
      <c r="A44" t="s">
        <v>47</v>
      </c>
      <c r="B44" s="2">
        <v>741</v>
      </c>
      <c r="C44" s="2"/>
      <c r="D44" s="2"/>
      <c r="E44" s="2"/>
      <c r="F44" s="2"/>
      <c r="G44" s="2"/>
      <c r="H44" s="2"/>
      <c r="I44" s="2"/>
      <c r="J44" s="1"/>
    </row>
    <row r="45" spans="1:35" x14ac:dyDescent="0.2">
      <c r="A45" t="s">
        <v>42</v>
      </c>
      <c r="B45" s="2">
        <v>159</v>
      </c>
      <c r="C45" s="2"/>
      <c r="D45" s="2"/>
      <c r="E45" s="2"/>
      <c r="F45" s="2"/>
      <c r="G45" s="2"/>
      <c r="H45" s="2"/>
      <c r="I45" s="2"/>
      <c r="J45" s="1"/>
      <c r="P45" t="s">
        <v>72</v>
      </c>
      <c r="Q45" s="11">
        <v>0.05</v>
      </c>
      <c r="R45" s="11">
        <v>0.1</v>
      </c>
      <c r="S45" s="11">
        <v>0.15</v>
      </c>
    </row>
    <row r="46" spans="1:35" x14ac:dyDescent="0.2">
      <c r="A46" t="s">
        <v>48</v>
      </c>
      <c r="B46" s="2">
        <v>2321</v>
      </c>
      <c r="C46" s="2"/>
      <c r="D46" s="2"/>
      <c r="E46" s="2"/>
      <c r="F46" s="2"/>
      <c r="G46" s="2"/>
      <c r="H46" s="2"/>
      <c r="I46" s="2"/>
      <c r="J46" s="1"/>
      <c r="P46" t="s">
        <v>73</v>
      </c>
      <c r="Q46" s="1">
        <v>2065845.54</v>
      </c>
      <c r="R46" s="1">
        <v>2790939.66</v>
      </c>
      <c r="S46" s="1">
        <v>4885577.1900000004</v>
      </c>
    </row>
    <row r="47" spans="1:35" x14ac:dyDescent="0.2">
      <c r="A47" t="s">
        <v>49</v>
      </c>
      <c r="B47" s="2">
        <v>395089</v>
      </c>
      <c r="C47" s="2"/>
      <c r="D47" s="2"/>
      <c r="E47" s="2"/>
      <c r="F47" s="2"/>
      <c r="G47" s="2"/>
      <c r="H47" s="2"/>
      <c r="I47" s="2"/>
      <c r="J47" s="1"/>
      <c r="R47" s="1">
        <f xml:space="preserve"> R44 +L46 - L47</f>
        <v>0</v>
      </c>
      <c r="S47" s="1"/>
    </row>
    <row r="48" spans="1:35" x14ac:dyDescent="0.2">
      <c r="B48" s="2"/>
      <c r="C48" s="2"/>
      <c r="D48" s="2"/>
      <c r="E48" s="2"/>
      <c r="F48" s="2"/>
      <c r="G48" s="2"/>
      <c r="H48" s="2"/>
      <c r="I48" s="2"/>
      <c r="J48" s="1"/>
    </row>
    <row r="49" spans="1:10" ht="15" x14ac:dyDescent="0.25">
      <c r="A49" s="3" t="s">
        <v>50</v>
      </c>
      <c r="B49" s="2">
        <f xml:space="preserve"> SUM(B33:B47)</f>
        <v>1175132</v>
      </c>
      <c r="C49" s="2"/>
      <c r="D49" s="2"/>
      <c r="E49" s="2"/>
      <c r="F49" s="2"/>
      <c r="G49" s="2"/>
      <c r="H49" s="2"/>
      <c r="I49" s="2"/>
      <c r="J49" s="1"/>
    </row>
    <row r="50" spans="1:10" x14ac:dyDescent="0.2">
      <c r="B50" s="2"/>
      <c r="C50" s="2"/>
      <c r="D50" s="2"/>
      <c r="E50" s="2"/>
      <c r="F50" s="2"/>
      <c r="G50" s="2"/>
      <c r="H50" s="2"/>
      <c r="I50" s="2"/>
      <c r="J50" s="1"/>
    </row>
    <row r="51" spans="1:10" s="3" customFormat="1" ht="15" x14ac:dyDescent="0.25">
      <c r="A51" s="3" t="s">
        <v>51</v>
      </c>
      <c r="B51" s="4"/>
      <c r="C51" s="4"/>
      <c r="D51" s="4"/>
      <c r="E51" s="4"/>
      <c r="F51" s="4"/>
      <c r="G51" s="4"/>
      <c r="H51" s="4"/>
      <c r="I51" s="4"/>
      <c r="J51" s="8"/>
    </row>
    <row r="52" spans="1:10" x14ac:dyDescent="0.2">
      <c r="A52" t="s">
        <v>52</v>
      </c>
      <c r="C52" s="2"/>
      <c r="D52" s="2"/>
      <c r="E52" s="2"/>
      <c r="F52" s="2"/>
      <c r="G52" s="2"/>
      <c r="H52" s="2"/>
      <c r="I52" s="2"/>
      <c r="J52" s="1"/>
    </row>
    <row r="53" spans="1:10" x14ac:dyDescent="0.2">
      <c r="A53" t="s">
        <v>53</v>
      </c>
      <c r="B53" s="2">
        <v>3628</v>
      </c>
      <c r="C53" s="2"/>
      <c r="D53" s="2"/>
      <c r="E53" s="2"/>
      <c r="F53" s="2"/>
      <c r="G53" s="2"/>
      <c r="H53" s="2"/>
      <c r="I53" s="2"/>
      <c r="J53" s="1"/>
    </row>
    <row r="54" spans="1:10" x14ac:dyDescent="0.2">
      <c r="B54" s="2"/>
      <c r="C54" s="2"/>
      <c r="D54" s="2"/>
      <c r="E54" s="2"/>
      <c r="F54" s="2"/>
      <c r="G54" s="2"/>
      <c r="H54" s="2"/>
      <c r="I54" s="2"/>
      <c r="J54" s="1"/>
    </row>
    <row r="55" spans="1:10" s="3" customFormat="1" ht="15" x14ac:dyDescent="0.25">
      <c r="A55" s="3" t="s">
        <v>54</v>
      </c>
      <c r="B55" s="4"/>
      <c r="C55" s="4"/>
      <c r="D55" s="4"/>
      <c r="E55" s="4"/>
      <c r="F55" s="4"/>
      <c r="G55" s="4"/>
      <c r="H55" s="4"/>
      <c r="I55" s="4"/>
      <c r="J55" s="8"/>
    </row>
    <row r="56" spans="1:10" x14ac:dyDescent="0.2">
      <c r="A56" t="s">
        <v>55</v>
      </c>
      <c r="B56" s="2">
        <v>121802</v>
      </c>
      <c r="C56" s="2"/>
      <c r="D56" s="2"/>
      <c r="E56" s="2"/>
      <c r="F56" s="2"/>
      <c r="G56" s="2"/>
      <c r="H56" s="2"/>
      <c r="I56" s="2"/>
      <c r="J56" s="1"/>
    </row>
    <row r="57" spans="1:10" x14ac:dyDescent="0.2">
      <c r="A57" t="s">
        <v>56</v>
      </c>
      <c r="B57" s="2">
        <v>25884</v>
      </c>
      <c r="C57" s="2"/>
      <c r="D57" s="2"/>
      <c r="E57" s="2"/>
      <c r="F57" s="2"/>
      <c r="G57" s="2"/>
      <c r="H57" s="2"/>
      <c r="I57" s="2"/>
      <c r="J57" s="1"/>
    </row>
    <row r="58" spans="1:10" x14ac:dyDescent="0.2">
      <c r="A58" t="s">
        <v>57</v>
      </c>
      <c r="B58" s="2">
        <v>93672</v>
      </c>
      <c r="C58" s="2"/>
      <c r="D58" s="2"/>
      <c r="E58" s="2"/>
      <c r="F58" s="2"/>
      <c r="G58" s="2"/>
      <c r="H58" s="1"/>
      <c r="I58" s="1"/>
      <c r="J58" s="1"/>
    </row>
    <row r="59" spans="1:10" x14ac:dyDescent="0.2">
      <c r="A59" t="s">
        <v>58</v>
      </c>
      <c r="B59" s="2">
        <v>1355</v>
      </c>
      <c r="C59" s="2"/>
      <c r="D59" s="2"/>
      <c r="E59" s="2"/>
      <c r="F59" s="2"/>
      <c r="G59" s="2"/>
      <c r="H59" s="1"/>
      <c r="I59" s="1"/>
      <c r="J59" s="1"/>
    </row>
    <row r="60" spans="1:10" x14ac:dyDescent="0.2">
      <c r="A60" t="s">
        <v>59</v>
      </c>
      <c r="B60" s="2">
        <v>860</v>
      </c>
      <c r="C60" s="2"/>
      <c r="D60" s="2"/>
      <c r="E60" s="2"/>
      <c r="F60" s="2"/>
      <c r="G60" s="2"/>
      <c r="H60" s="1"/>
      <c r="I60" s="1"/>
      <c r="J60" s="1"/>
    </row>
    <row r="62" spans="1:10" s="3" customFormat="1" ht="15" x14ac:dyDescent="0.25">
      <c r="A62" s="3" t="s">
        <v>60</v>
      </c>
      <c r="B62" s="9">
        <f xml:space="preserve"> SUM(B53:B60)</f>
        <v>247201</v>
      </c>
    </row>
    <row r="64" spans="1:10" ht="15" x14ac:dyDescent="0.25">
      <c r="A64" s="3" t="s">
        <v>61</v>
      </c>
    </row>
    <row r="65" spans="1:11" x14ac:dyDescent="0.2">
      <c r="A65" t="s">
        <v>62</v>
      </c>
      <c r="B65" s="1">
        <v>79303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ht="15" x14ac:dyDescent="0.25">
      <c r="A66" s="3" t="s">
        <v>63</v>
      </c>
      <c r="B66" s="1">
        <v>569733</v>
      </c>
      <c r="C66" s="1"/>
      <c r="D66" s="1"/>
      <c r="E66" s="1"/>
      <c r="F66" s="1"/>
      <c r="G66" s="1"/>
      <c r="H66" s="1"/>
      <c r="I66" s="1"/>
      <c r="J66" s="1"/>
      <c r="K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2023-08-07T12:45:33Z</dcterms:created>
  <dcterms:modified xsi:type="dcterms:W3CDTF">2023-08-07T13:44:46Z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2023-08-07T13:26:24Z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5c7f97ea-0d4e-4dd5-9597-4ed2dd2c95af</vt:lpwstr>
  </property>
  <property fmtid="{D5CDD505-2E9C-101B-9397-08002B2CF9AE}" pid="8" name="MSIP_Label_defa4170-0d19-0005-0004-bc88714345d2_ContentBits">
    <vt:lpwstr>0</vt:lpwstr>
  </property>
</Properties>
</file>