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25E53AD9-4578-4D32-B1ED-1B0D0E55CA39}" xr6:coauthVersionLast="47" xr6:coauthVersionMax="47" xr10:uidLastSave="{00000000-0000-0000-0000-000000000000}"/>
  <bookViews>
    <workbookView xWindow="-120" yWindow="-120" windowWidth="29040" windowHeight="15840" xr2:uid="{588465EC-EFCF-42A0-9289-53B2CC9070C3}"/>
  </bookViews>
  <sheets>
    <sheet name="Main Financial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AF2" i="1"/>
  <c r="AG2" i="1" s="1"/>
  <c r="AH2" i="1" s="1"/>
  <c r="AI2" i="1" s="1"/>
  <c r="AJ2" i="1" s="1"/>
  <c r="AK2" i="1" s="1"/>
  <c r="AL2" i="1" s="1"/>
  <c r="AM2" i="1" s="1"/>
  <c r="AE2" i="1"/>
  <c r="AD2" i="1"/>
  <c r="AC2" i="1"/>
  <c r="AB2" i="1"/>
  <c r="AA2" i="1"/>
  <c r="AA12" i="1" s="1"/>
  <c r="Z2" i="1"/>
  <c r="Y2" i="1"/>
  <c r="X2" i="1"/>
  <c r="X12" i="1" s="1"/>
  <c r="W2" i="1"/>
  <c r="Z12" i="1"/>
  <c r="W12" i="1"/>
  <c r="V12" i="1"/>
  <c r="U12" i="1"/>
  <c r="T12" i="1"/>
  <c r="V2" i="1"/>
  <c r="U2" i="1"/>
  <c r="T2" i="1"/>
  <c r="P2" i="1"/>
  <c r="P18" i="1" s="1"/>
  <c r="P11" i="1"/>
  <c r="P7" i="1"/>
  <c r="Q7" i="1"/>
  <c r="Q3" i="1"/>
  <c r="Q2" i="1"/>
  <c r="Q4" i="1" s="1"/>
  <c r="Q18" i="1"/>
  <c r="B49" i="1"/>
  <c r="B47" i="1"/>
  <c r="B35" i="1"/>
  <c r="B34" i="1"/>
  <c r="B27" i="1"/>
  <c r="N19" i="1"/>
  <c r="O19" i="1"/>
  <c r="M19" i="1"/>
  <c r="L19" i="1"/>
  <c r="K19" i="1"/>
  <c r="J19" i="1"/>
  <c r="I19" i="1"/>
  <c r="H19" i="1"/>
  <c r="G19" i="1"/>
  <c r="F19" i="1"/>
  <c r="E4" i="1"/>
  <c r="E14" i="1" s="1"/>
  <c r="I4" i="1"/>
  <c r="I14" i="1" s="1"/>
  <c r="M4" i="1"/>
  <c r="M8" i="1" s="1"/>
  <c r="D4" i="1"/>
  <c r="D8" i="1" s="1"/>
  <c r="M18" i="1"/>
  <c r="L18" i="1"/>
  <c r="K18" i="1"/>
  <c r="J18" i="1"/>
  <c r="I18" i="1"/>
  <c r="H18" i="1"/>
  <c r="G18" i="1"/>
  <c r="F18" i="1"/>
  <c r="E18" i="1"/>
  <c r="D18" i="1"/>
  <c r="C18" i="1"/>
  <c r="B18" i="1"/>
  <c r="C4" i="1"/>
  <c r="C14" i="1" s="1"/>
  <c r="B4" i="1"/>
  <c r="B14" i="1" s="1"/>
  <c r="F4" i="1"/>
  <c r="F8" i="1" s="1"/>
  <c r="G4" i="1"/>
  <c r="G8" i="1" s="1"/>
  <c r="L4" i="1"/>
  <c r="L14" i="1"/>
  <c r="H4" i="1"/>
  <c r="H14" i="1" s="1"/>
  <c r="N18" i="1"/>
  <c r="O18" i="1"/>
  <c r="N4" i="1"/>
  <c r="N14" i="1" s="1"/>
  <c r="J4" i="1"/>
  <c r="J8" i="1" s="1"/>
  <c r="K4" i="1"/>
  <c r="K8" i="1" s="1"/>
  <c r="O15" i="1"/>
  <c r="O16" i="1"/>
  <c r="O14" i="1"/>
  <c r="O12" i="1"/>
  <c r="O10" i="1"/>
  <c r="O8" i="1"/>
  <c r="O4" i="1"/>
  <c r="AC12" i="1" l="1"/>
  <c r="AF12" i="1"/>
  <c r="Y12" i="1"/>
  <c r="AD12" i="1"/>
  <c r="AE12" i="1"/>
  <c r="P4" i="1"/>
  <c r="P14" i="1" s="1"/>
  <c r="Q8" i="1"/>
  <c r="Q10" i="1" s="1"/>
  <c r="Q12" i="1" s="1"/>
  <c r="Q14" i="1"/>
  <c r="E8" i="1"/>
  <c r="E10" i="1" s="1"/>
  <c r="E12" i="1" s="1"/>
  <c r="E16" i="1" s="1"/>
  <c r="I8" i="1"/>
  <c r="I10" i="1" s="1"/>
  <c r="I12" i="1" s="1"/>
  <c r="I16" i="1" s="1"/>
  <c r="I15" i="1"/>
  <c r="M10" i="1"/>
  <c r="M12" i="1" s="1"/>
  <c r="M16" i="1" s="1"/>
  <c r="M15" i="1"/>
  <c r="M14" i="1"/>
  <c r="D10" i="1"/>
  <c r="D12" i="1" s="1"/>
  <c r="D16" i="1" s="1"/>
  <c r="D15" i="1"/>
  <c r="D14" i="1"/>
  <c r="C8" i="1"/>
  <c r="C10" i="1" s="1"/>
  <c r="C12" i="1" s="1"/>
  <c r="C16" i="1" s="1"/>
  <c r="C15" i="1"/>
  <c r="B8" i="1"/>
  <c r="F10" i="1"/>
  <c r="F12" i="1" s="1"/>
  <c r="F16" i="1" s="1"/>
  <c r="F15" i="1"/>
  <c r="F14" i="1"/>
  <c r="G10" i="1"/>
  <c r="G12" i="1" s="1"/>
  <c r="G16" i="1" s="1"/>
  <c r="G15" i="1"/>
  <c r="G14" i="1"/>
  <c r="H8" i="1"/>
  <c r="H10" i="1" s="1"/>
  <c r="H12" i="1" s="1"/>
  <c r="H16" i="1" s="1"/>
  <c r="L8" i="1"/>
  <c r="L10" i="1" s="1"/>
  <c r="L12" i="1" s="1"/>
  <c r="L16" i="1" s="1"/>
  <c r="N8" i="1"/>
  <c r="N10" i="1" s="1"/>
  <c r="N12" i="1" s="1"/>
  <c r="N16" i="1" s="1"/>
  <c r="J10" i="1"/>
  <c r="J12" i="1" s="1"/>
  <c r="J16" i="1" s="1"/>
  <c r="J15" i="1"/>
  <c r="J14" i="1"/>
  <c r="K10" i="1"/>
  <c r="K12" i="1" s="1"/>
  <c r="K16" i="1" s="1"/>
  <c r="K15" i="1"/>
  <c r="K14" i="1"/>
  <c r="AI12" i="1" l="1"/>
  <c r="AK12" i="1"/>
  <c r="AJ12" i="1"/>
  <c r="AB12" i="1"/>
  <c r="AH12" i="1"/>
  <c r="P8" i="1"/>
  <c r="P10" i="1" s="1"/>
  <c r="P12" i="1" s="1"/>
  <c r="P16" i="1" s="1"/>
  <c r="Q15" i="1"/>
  <c r="Q16" i="1"/>
  <c r="Q19" i="1"/>
  <c r="E15" i="1"/>
  <c r="B10" i="1"/>
  <c r="B12" i="1" s="1"/>
  <c r="B16" i="1" s="1"/>
  <c r="B15" i="1"/>
  <c r="H15" i="1"/>
  <c r="L15" i="1"/>
  <c r="N15" i="1"/>
  <c r="AL12" i="1" l="1"/>
  <c r="AG12" i="1"/>
  <c r="AM12" i="1"/>
  <c r="P15" i="1"/>
  <c r="P19" i="1"/>
</calcChain>
</file>

<file path=xl/sharedStrings.xml><?xml version="1.0" encoding="utf-8"?>
<sst xmlns="http://schemas.openxmlformats.org/spreadsheetml/2006/main" count="66" uniqueCount="62">
  <si>
    <t>Revenue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</si>
  <si>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</si>
  <si>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</si>
  <si>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</si>
  <si>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</si>
  <si>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</si>
  <si>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</si>
  <si>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</si>
  <si>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</si>
  <si>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</si>
  <si>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</si>
  <si>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</si>
  <si>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</si>
  <si>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</si>
  <si>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</si>
  <si>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Cost of Sales</t>
  </si>
  <si>
    <t>Gross Profit</t>
  </si>
  <si>
    <t>Other Operating Income</t>
  </si>
  <si>
    <t>Profit from Operations</t>
  </si>
  <si>
    <t>Finance Costs</t>
  </si>
  <si>
    <t>Profit before Tax</t>
  </si>
  <si>
    <t>Taxes</t>
  </si>
  <si>
    <t>Net Profit</t>
  </si>
  <si>
    <t>Operating Expenses</t>
  </si>
  <si>
    <t>Gross Margin</t>
  </si>
  <si>
    <t>Operating Margin</t>
  </si>
  <si>
    <t>Net Margin</t>
  </si>
  <si>
    <t>Revenue y/y</t>
  </si>
  <si>
    <t>Net Income y/y</t>
  </si>
  <si>
    <t>Q3 2023</t>
  </si>
  <si>
    <t>Q4 2023</t>
  </si>
  <si>
    <t xml:space="preserve">Balance Sheet </t>
  </si>
  <si>
    <t>Assets</t>
  </si>
  <si>
    <t>PPE</t>
  </si>
  <si>
    <t>Computer Software</t>
  </si>
  <si>
    <t>Goodwill</t>
  </si>
  <si>
    <t>Deferred Tax Assets</t>
  </si>
  <si>
    <t>Total non-current assets</t>
  </si>
  <si>
    <t>Inventories</t>
  </si>
  <si>
    <t>Tax recoverable</t>
  </si>
  <si>
    <t>A/R</t>
  </si>
  <si>
    <t>Derivative financial instruments</t>
  </si>
  <si>
    <t>Cash</t>
  </si>
  <si>
    <t>Total Assets</t>
  </si>
  <si>
    <t>Total current Assets</t>
  </si>
  <si>
    <t>Liabilities</t>
  </si>
  <si>
    <t>Lease liabilities</t>
  </si>
  <si>
    <t>Total non-current liabilities</t>
  </si>
  <si>
    <t>A/P</t>
  </si>
  <si>
    <t>Borrowings</t>
  </si>
  <si>
    <t>Current tax liabilities</t>
  </si>
  <si>
    <t>Total Liabilities</t>
  </si>
  <si>
    <t>SE</t>
  </si>
  <si>
    <t>Annual</t>
  </si>
  <si>
    <t>Discount Rate</t>
  </si>
  <si>
    <t>(Risk free rate is already 4.5% + Normal Stocks 2% + Riskier Tobacco sunsetindustry premium + 2)</t>
  </si>
  <si>
    <t xml:space="preserve">NPV </t>
  </si>
  <si>
    <t>Debt</t>
  </si>
  <si>
    <t>Price</t>
  </si>
  <si>
    <t>SO</t>
  </si>
  <si>
    <t>MC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</si>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</sst>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165" fontId="3" fillId="0" borderId="0" xfId="1" applyNumberFormat="1" applyFont="1"/>
    <xf numFmtId="165" fontId="0" fillId="0" borderId="0" xfId="1" applyNumberFormat="1" applyFont="1"/>
    <xf numFmtId="9" fontId="0" fillId="0" borderId="0" xfId="0" applyNumberFormat="1"/>
    <xf numFmtId="0" fontId="2" fillId="0" borderId="0" xfId="0" applyFont="1"/>
    <xf numFmtId="165" fontId="3" fillId="0" borderId="0" xfId="0" applyNumberFormat="1" applyFont="1"/>
    <xf numFmtId="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F17F-4732-4175-9C62-FDE9FBD4FBF4}">
  <dimension ref="A1:AM49"/>
  <sheetViews>
    <sheetView tabSelected="1" zoomScale="85" zoomScaleNormal="85" workbookViewId="0">
      <pane xSplit="1" topLeftCell="B1" activePane="topRight" state="frozen"/>
      <selection pane="topRight" activeCell="U20" sqref="U20"/>
    </sheetView>
  </sheetViews>
  <sheetFormatPr defaultRowHeight="14.25" x14ac:dyDescent="0.2"/>
  <cols>
    <col min="1" max="1" width="27.875" bestFit="1" customWidth="1"/>
    <col min="2" max="2" width="11.5" style="3" bestFit="1" customWidth="1"/>
    <col min="9" max="9" width="9.25" bestFit="1" customWidth="1"/>
    <col min="13" max="14" width="9.25" bestFit="1" customWidth="1"/>
    <col min="15" max="15" width="11.125" bestFit="1" customWidth="1"/>
    <col min="17" max="17" width="9.375" bestFit="1" customWidth="1"/>
    <col min="20" max="20" width="10.25" bestFit="1" customWidth="1"/>
    <col min="21" max="21" width="13.125" bestFit="1" customWidth="1"/>
    <col min="22" max="30" width="10.25" bestFit="1" customWidth="1"/>
    <col min="31" max="38" width="11.25" bestFit="1" customWidth="1"/>
  </cols>
  <sheetData>
    <row r="1" spans="1:39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5" t="s">
        <v>29</v>
      </c>
      <c r="Q1" s="5" t="s">
        <v>30</v>
      </c>
      <c r="S1" t="s">
        <v>53</v>
      </c>
      <c r="T1">
        <v>2021</v>
      </c>
      <c r="U1">
        <v>2022</v>
      </c>
      <c r="V1">
        <v>2023</v>
      </c>
      <c r="W1">
        <v>2024</v>
      </c>
      <c r="X1">
        <v>2025</v>
      </c>
      <c r="Y1">
        <v>2026</v>
      </c>
      <c r="Z1">
        <v>2027</v>
      </c>
      <c r="AA1">
        <v>2028</v>
      </c>
      <c r="AB1">
        <v>2029</v>
      </c>
      <c r="AC1">
        <v>2030</v>
      </c>
      <c r="AD1">
        <v>2031</v>
      </c>
      <c r="AE1">
        <v>2032</v>
      </c>
      <c r="AF1">
        <v>2033</v>
      </c>
      <c r="AG1">
        <v>2034</v>
      </c>
      <c r="AH1">
        <v>2035</v>
      </c>
      <c r="AI1">
        <v>2036</v>
      </c>
      <c r="AJ1">
        <v>2037</v>
      </c>
      <c r="AK1">
        <v>2038</v>
      </c>
      <c r="AL1">
        <v>2039</v>
      </c>
      <c r="AM1">
        <v>2040</v>
      </c>
    </row>
    <row r="2" spans="1:39" s="1" customFormat="1" ht="15" x14ac:dyDescent="0.25">
      <c r="A2" s="2" t="s">
        <v>0</v>
      </c>
      <c r="B2" s="2">
        <v>481146</v>
      </c>
      <c r="C2" s="2">
        <v>546588</v>
      </c>
      <c r="D2" s="2">
        <v>627518</v>
      </c>
      <c r="E2" s="2">
        <v>660229</v>
      </c>
      <c r="F2" s="2">
        <v>566552</v>
      </c>
      <c r="G2" s="2">
        <v>595798</v>
      </c>
      <c r="H2" s="2">
        <v>613020</v>
      </c>
      <c r="I2" s="2">
        <v>861885</v>
      </c>
      <c r="J2" s="2">
        <v>521559</v>
      </c>
      <c r="K2" s="2">
        <v>637457</v>
      </c>
      <c r="L2" s="2">
        <v>666901</v>
      </c>
      <c r="M2" s="2">
        <v>770657</v>
      </c>
      <c r="N2" s="2">
        <v>390225</v>
      </c>
      <c r="O2" s="2">
        <v>678116</v>
      </c>
      <c r="P2" s="2">
        <f>L2*1.01</f>
        <v>673570.01</v>
      </c>
      <c r="Q2" s="2">
        <f xml:space="preserve"> M2*1.05</f>
        <v>809189.85</v>
      </c>
      <c r="T2" s="6">
        <f>SUM(F2:I2)</f>
        <v>2637255</v>
      </c>
      <c r="U2" s="6">
        <f>SUM(J2:M2)</f>
        <v>2596574</v>
      </c>
      <c r="V2" s="6">
        <f xml:space="preserve"> SUM(N2:Q2)</f>
        <v>2551100.86</v>
      </c>
      <c r="W2" s="6">
        <f>V2*1.02</f>
        <v>2602122.8772</v>
      </c>
      <c r="X2" s="6">
        <f>W2*1.02</f>
        <v>2654165.3347439999</v>
      </c>
      <c r="Y2" s="6">
        <f>X2*1.02</f>
        <v>2707248.64143888</v>
      </c>
      <c r="Z2" s="6">
        <f>Y2*1.02</f>
        <v>2761393.6142676575</v>
      </c>
      <c r="AA2" s="6">
        <f>Z2*1.02</f>
        <v>2816621.4865530105</v>
      </c>
      <c r="AB2" s="6">
        <f>AA2*1.02</f>
        <v>2872953.9162840708</v>
      </c>
      <c r="AC2" s="6">
        <f>AB2*1.02</f>
        <v>2930412.9946097522</v>
      </c>
      <c r="AD2" s="6">
        <f>AC2*1.02</f>
        <v>2989021.2545019472</v>
      </c>
      <c r="AE2" s="6">
        <f>AD2*1.02</f>
        <v>3048801.6795919864</v>
      </c>
      <c r="AF2" s="6">
        <f t="shared" ref="AF2:AM2" si="0">AE2*1.02</f>
        <v>3109777.7131838263</v>
      </c>
      <c r="AG2" s="6">
        <f t="shared" si="0"/>
        <v>3171973.2674475028</v>
      </c>
      <c r="AH2" s="6">
        <f t="shared" si="0"/>
        <v>3235412.7327964529</v>
      </c>
      <c r="AI2" s="6">
        <f t="shared" si="0"/>
        <v>3300120.9874523822</v>
      </c>
      <c r="AJ2" s="6">
        <f t="shared" si="0"/>
        <v>3366123.4072014298</v>
      </c>
      <c r="AK2" s="6">
        <f t="shared" si="0"/>
        <v>3433445.8753454583</v>
      </c>
      <c r="AL2" s="6">
        <f t="shared" si="0"/>
        <v>3502114.7928523673</v>
      </c>
      <c r="AM2" s="6">
        <f t="shared" si="0"/>
        <v>3572157.0887094145</v>
      </c>
    </row>
    <row r="3" spans="1:39" x14ac:dyDescent="0.2">
      <c r="A3" s="3" t="s">
        <v>15</v>
      </c>
      <c r="B3" s="3">
        <v>358072</v>
      </c>
      <c r="C3" s="3">
        <v>406644</v>
      </c>
      <c r="D3" s="3">
        <v>468092</v>
      </c>
      <c r="E3" s="3">
        <v>485462</v>
      </c>
      <c r="F3" s="3">
        <v>424061</v>
      </c>
      <c r="G3" s="3">
        <v>446003</v>
      </c>
      <c r="H3" s="3">
        <v>451414</v>
      </c>
      <c r="I3" s="3">
        <v>640937</v>
      </c>
      <c r="J3" s="3">
        <v>391970</v>
      </c>
      <c r="K3" s="3">
        <v>469493</v>
      </c>
      <c r="L3" s="3">
        <v>493127</v>
      </c>
      <c r="M3" s="3">
        <v>564024</v>
      </c>
      <c r="N3" s="3">
        <v>303301</v>
      </c>
      <c r="O3" s="3">
        <v>504645</v>
      </c>
      <c r="P3" s="3">
        <v>504645</v>
      </c>
      <c r="Q3" s="3">
        <f>M3 * 1.05</f>
        <v>592225.20000000007</v>
      </c>
    </row>
    <row r="4" spans="1:39" s="1" customFormat="1" ht="15" x14ac:dyDescent="0.25">
      <c r="A4" s="2" t="s">
        <v>16</v>
      </c>
      <c r="B4" s="2">
        <f xml:space="preserve"> B2 -B3</f>
        <v>123074</v>
      </c>
      <c r="C4" s="2">
        <f xml:space="preserve"> C2 -C3</f>
        <v>139944</v>
      </c>
      <c r="D4" s="2">
        <f xml:space="preserve"> D2 -D3</f>
        <v>159426</v>
      </c>
      <c r="E4" s="2">
        <f xml:space="preserve"> E2 -E3</f>
        <v>174767</v>
      </c>
      <c r="F4" s="2">
        <f xml:space="preserve"> F2 -F3</f>
        <v>142491</v>
      </c>
      <c r="G4" s="2">
        <f xml:space="preserve"> G2 -G3</f>
        <v>149795</v>
      </c>
      <c r="H4" s="2">
        <f xml:space="preserve"> H2 -H3</f>
        <v>161606</v>
      </c>
      <c r="I4" s="2">
        <f xml:space="preserve"> I2 -I3</f>
        <v>220948</v>
      </c>
      <c r="J4" s="2">
        <f xml:space="preserve"> J2 -J3</f>
        <v>129589</v>
      </c>
      <c r="K4" s="2">
        <f xml:space="preserve"> K2 -K3</f>
        <v>167964</v>
      </c>
      <c r="L4" s="2">
        <f xml:space="preserve"> L2 -L3</f>
        <v>173774</v>
      </c>
      <c r="M4" s="2">
        <f xml:space="preserve"> M2 -M3</f>
        <v>206633</v>
      </c>
      <c r="N4" s="2">
        <f xml:space="preserve"> N2 -N3</f>
        <v>86924</v>
      </c>
      <c r="O4" s="2">
        <f xml:space="preserve"> O2 -O3</f>
        <v>173471</v>
      </c>
      <c r="P4" s="2">
        <f xml:space="preserve"> P2 -P3</f>
        <v>168925.01</v>
      </c>
      <c r="Q4" s="2">
        <f xml:space="preserve"> Q2 -Q3</f>
        <v>216964.64999999991</v>
      </c>
    </row>
    <row r="5" spans="1:39" x14ac:dyDescent="0.2">
      <c r="A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39" x14ac:dyDescent="0.2">
      <c r="A6" s="3" t="s">
        <v>17</v>
      </c>
      <c r="B6" s="3">
        <v>461</v>
      </c>
      <c r="C6" s="3">
        <v>251</v>
      </c>
      <c r="D6" s="3">
        <v>121</v>
      </c>
      <c r="E6" s="3">
        <v>66</v>
      </c>
      <c r="F6" s="3">
        <v>283</v>
      </c>
      <c r="G6" s="3">
        <v>91</v>
      </c>
      <c r="H6" s="3">
        <v>123</v>
      </c>
      <c r="I6" s="3">
        <v>141</v>
      </c>
      <c r="J6" s="3">
        <v>617</v>
      </c>
      <c r="K6" s="3">
        <v>1231</v>
      </c>
      <c r="L6" s="3">
        <v>1386</v>
      </c>
      <c r="M6" s="3">
        <v>697</v>
      </c>
      <c r="N6" s="3">
        <v>568</v>
      </c>
      <c r="O6" s="3">
        <v>191</v>
      </c>
      <c r="P6" s="3">
        <v>191</v>
      </c>
      <c r="Q6" s="3">
        <v>191</v>
      </c>
    </row>
    <row r="7" spans="1:39" x14ac:dyDescent="0.2">
      <c r="A7" s="3" t="s">
        <v>23</v>
      </c>
      <c r="B7" s="3">
        <v>-52176</v>
      </c>
      <c r="C7" s="3">
        <v>-57238</v>
      </c>
      <c r="D7" s="3">
        <v>-71770</v>
      </c>
      <c r="E7" s="3">
        <v>-70469</v>
      </c>
      <c r="F7" s="3">
        <v>-56017</v>
      </c>
      <c r="G7" s="3">
        <v>-43291</v>
      </c>
      <c r="H7" s="3">
        <v>-53725</v>
      </c>
      <c r="I7" s="3">
        <v>-111250</v>
      </c>
      <c r="J7" s="3">
        <v>-48151</v>
      </c>
      <c r="K7" s="3">
        <v>-60581</v>
      </c>
      <c r="L7" s="3">
        <v>-59021</v>
      </c>
      <c r="M7" s="3">
        <v>-107049</v>
      </c>
      <c r="N7" s="3">
        <v>-28660</v>
      </c>
      <c r="O7" s="3">
        <v>-107798</v>
      </c>
      <c r="P7" s="3">
        <f xml:space="preserve"> L7*1.15</f>
        <v>-67874.149999999994</v>
      </c>
      <c r="Q7" s="3">
        <f>M7*1.1</f>
        <v>-117753.90000000001</v>
      </c>
    </row>
    <row r="8" spans="1:39" s="1" customFormat="1" ht="15" x14ac:dyDescent="0.25">
      <c r="A8" s="2" t="s">
        <v>18</v>
      </c>
      <c r="B8" s="2">
        <f xml:space="preserve"> B4 +B6 +B7</f>
        <v>71359</v>
      </c>
      <c r="C8" s="2">
        <f xml:space="preserve"> C4 +C6 +C7</f>
        <v>82957</v>
      </c>
      <c r="D8" s="2">
        <f xml:space="preserve"> D4 +D6 +D7</f>
        <v>87777</v>
      </c>
      <c r="E8" s="2">
        <f xml:space="preserve"> E4 +E6 +E7</f>
        <v>104364</v>
      </c>
      <c r="F8" s="2">
        <f xml:space="preserve"> F4 +F6 +F7</f>
        <v>86757</v>
      </c>
      <c r="G8" s="2">
        <f xml:space="preserve"> G4 +G6 +G7</f>
        <v>106595</v>
      </c>
      <c r="H8" s="2">
        <f xml:space="preserve"> H4 +H6 +H7</f>
        <v>108004</v>
      </c>
      <c r="I8" s="2">
        <f xml:space="preserve"> I4 +I6 +I7</f>
        <v>109839</v>
      </c>
      <c r="J8" s="2">
        <f xml:space="preserve"> J4 +J6 +J7</f>
        <v>82055</v>
      </c>
      <c r="K8" s="2">
        <f xml:space="preserve"> K4 +K6 +K7</f>
        <v>108614</v>
      </c>
      <c r="L8" s="2">
        <f xml:space="preserve"> L4 +L6 +L7</f>
        <v>116139</v>
      </c>
      <c r="M8" s="2">
        <f xml:space="preserve"> M4 +M6 +M7</f>
        <v>100281</v>
      </c>
      <c r="N8" s="2">
        <f xml:space="preserve"> N4 +N6 +N7</f>
        <v>58832</v>
      </c>
      <c r="O8" s="2">
        <f xml:space="preserve"> O4 +O6 +O7</f>
        <v>65864</v>
      </c>
      <c r="P8" s="2">
        <f xml:space="preserve"> P4 +P6 +P7</f>
        <v>101241.86000000002</v>
      </c>
      <c r="Q8" s="2">
        <f xml:space="preserve"> Q4 +Q6 +Q7</f>
        <v>99401.749999999898</v>
      </c>
    </row>
    <row r="9" spans="1:39" x14ac:dyDescent="0.2">
      <c r="A9" s="3" t="s">
        <v>19</v>
      </c>
      <c r="B9" s="3">
        <v>-4420</v>
      </c>
      <c r="C9" s="3">
        <v>-4860</v>
      </c>
      <c r="D9" s="3">
        <v>-3943</v>
      </c>
      <c r="E9" s="3">
        <v>-3949</v>
      </c>
      <c r="F9" s="3">
        <v>-3698</v>
      </c>
      <c r="G9" s="3">
        <v>-3972</v>
      </c>
      <c r="H9" s="3">
        <v>-4473</v>
      </c>
      <c r="I9" s="3">
        <v>-4935</v>
      </c>
      <c r="J9" s="3">
        <v>-4979</v>
      </c>
      <c r="K9" s="3">
        <v>-5388</v>
      </c>
      <c r="L9" s="3">
        <v>-5317</v>
      </c>
      <c r="M9" s="3">
        <v>-5993</v>
      </c>
      <c r="N9" s="3">
        <v>-5800</v>
      </c>
      <c r="O9" s="3">
        <v>-5256</v>
      </c>
      <c r="P9" s="3">
        <v>-5256</v>
      </c>
      <c r="Q9" s="3">
        <v>-5256</v>
      </c>
    </row>
    <row r="10" spans="1:39" x14ac:dyDescent="0.2">
      <c r="A10" s="3" t="s">
        <v>20</v>
      </c>
      <c r="B10" s="3">
        <f xml:space="preserve"> B8 +B9</f>
        <v>66939</v>
      </c>
      <c r="C10" s="3">
        <f xml:space="preserve"> C8 +C9</f>
        <v>78097</v>
      </c>
      <c r="D10" s="3">
        <f xml:space="preserve"> D8 +D9</f>
        <v>83834</v>
      </c>
      <c r="E10" s="3">
        <f xml:space="preserve"> E8 +E9</f>
        <v>100415</v>
      </c>
      <c r="F10" s="3">
        <f xml:space="preserve"> F8 +F9</f>
        <v>83059</v>
      </c>
      <c r="G10" s="3">
        <f xml:space="preserve"> G8 +G9</f>
        <v>102623</v>
      </c>
      <c r="H10" s="3">
        <f xml:space="preserve"> H8 +H9</f>
        <v>103531</v>
      </c>
      <c r="I10" s="3">
        <f xml:space="preserve"> I8 +I9</f>
        <v>104904</v>
      </c>
      <c r="J10" s="3">
        <f xml:space="preserve"> J8 +J9</f>
        <v>77076</v>
      </c>
      <c r="K10" s="3">
        <f xml:space="preserve"> K8 +K9</f>
        <v>103226</v>
      </c>
      <c r="L10" s="3">
        <f xml:space="preserve"> L8 +L9</f>
        <v>110822</v>
      </c>
      <c r="M10" s="3">
        <f xml:space="preserve"> M8 +M9</f>
        <v>94288</v>
      </c>
      <c r="N10" s="3">
        <f xml:space="preserve"> N8 +N9</f>
        <v>53032</v>
      </c>
      <c r="O10" s="3">
        <f xml:space="preserve"> O8 +O9</f>
        <v>60608</v>
      </c>
      <c r="P10" s="3">
        <f xml:space="preserve"> P8 +P9</f>
        <v>95985.860000000015</v>
      </c>
      <c r="Q10" s="3">
        <f xml:space="preserve"> Q8 +Q9</f>
        <v>94145.749999999898</v>
      </c>
    </row>
    <row r="11" spans="1:39" x14ac:dyDescent="0.2">
      <c r="A11" s="3" t="s">
        <v>21</v>
      </c>
      <c r="B11" s="3">
        <v>-16173</v>
      </c>
      <c r="C11" s="3">
        <v>-23486</v>
      </c>
      <c r="D11" s="3">
        <v>-20092</v>
      </c>
      <c r="E11" s="3">
        <v>-27695</v>
      </c>
      <c r="F11" s="3">
        <v>-19946</v>
      </c>
      <c r="G11" s="3">
        <v>-31005</v>
      </c>
      <c r="H11" s="3">
        <v>-24856</v>
      </c>
      <c r="I11" s="3">
        <v>-33449</v>
      </c>
      <c r="J11" s="3">
        <v>-24788</v>
      </c>
      <c r="K11" s="3">
        <v>-29977</v>
      </c>
      <c r="L11" s="3">
        <v>-35568</v>
      </c>
      <c r="M11" s="3">
        <v>-32560</v>
      </c>
      <c r="N11" s="3">
        <v>-12710</v>
      </c>
      <c r="O11" s="3">
        <v>-20082</v>
      </c>
      <c r="P11" s="3">
        <f>L11*1.15</f>
        <v>-40903.199999999997</v>
      </c>
      <c r="Q11" s="3">
        <v>-20082</v>
      </c>
    </row>
    <row r="12" spans="1:39" s="1" customFormat="1" ht="15" x14ac:dyDescent="0.25">
      <c r="A12" s="2" t="s">
        <v>22</v>
      </c>
      <c r="B12" s="2">
        <f>B10 +B11</f>
        <v>50766</v>
      </c>
      <c r="C12" s="2">
        <f>C10 +C11</f>
        <v>54611</v>
      </c>
      <c r="D12" s="2">
        <f>D10 +D11</f>
        <v>63742</v>
      </c>
      <c r="E12" s="2">
        <f>E10 +E11</f>
        <v>72720</v>
      </c>
      <c r="F12" s="2">
        <f>F10 +F11</f>
        <v>63113</v>
      </c>
      <c r="G12" s="2">
        <f>G10 +G11</f>
        <v>71618</v>
      </c>
      <c r="H12" s="2">
        <f>H10 +H11</f>
        <v>78675</v>
      </c>
      <c r="I12" s="2">
        <f>I10 +I11</f>
        <v>71455</v>
      </c>
      <c r="J12" s="2">
        <f>J10 +J11</f>
        <v>52288</v>
      </c>
      <c r="K12" s="2">
        <f>K10 +K11</f>
        <v>73249</v>
      </c>
      <c r="L12" s="2">
        <f>L10 +L11</f>
        <v>75254</v>
      </c>
      <c r="M12" s="2">
        <f>M10 +M11</f>
        <v>61728</v>
      </c>
      <c r="N12" s="2">
        <f>N10 +N11</f>
        <v>40322</v>
      </c>
      <c r="O12" s="2">
        <f>O10 +O11</f>
        <v>40526</v>
      </c>
      <c r="P12" s="2">
        <f>P10 +P11</f>
        <v>55082.660000000018</v>
      </c>
      <c r="Q12" s="2">
        <f>Q10 +Q11</f>
        <v>74063.749999999898</v>
      </c>
      <c r="T12" s="6">
        <f>SUM(F12:I12)</f>
        <v>284861</v>
      </c>
      <c r="U12" s="6">
        <f>SUM(J12:M12)</f>
        <v>262519</v>
      </c>
      <c r="V12" s="6">
        <f xml:space="preserve"> SUM(N12:Q12)</f>
        <v>209994.40999999992</v>
      </c>
      <c r="W12" s="6">
        <f>W2 *W16</f>
        <v>260212.28772000002</v>
      </c>
      <c r="X12" s="6">
        <f t="shared" ref="X12:AM12" si="1">X2 *X16</f>
        <v>265416.5334744</v>
      </c>
      <c r="Y12" s="6">
        <f t="shared" si="1"/>
        <v>270724.864143888</v>
      </c>
      <c r="Z12" s="6">
        <f t="shared" si="1"/>
        <v>276139.36142676574</v>
      </c>
      <c r="AA12" s="6">
        <f t="shared" si="1"/>
        <v>281662.14865530108</v>
      </c>
      <c r="AB12" s="6">
        <f t="shared" si="1"/>
        <v>287295.39162840712</v>
      </c>
      <c r="AC12" s="6">
        <f t="shared" si="1"/>
        <v>293041.29946097522</v>
      </c>
      <c r="AD12" s="6">
        <f t="shared" si="1"/>
        <v>298902.12545019476</v>
      </c>
      <c r="AE12" s="6">
        <f t="shared" si="1"/>
        <v>304880.16795919865</v>
      </c>
      <c r="AF12" s="6">
        <f t="shared" si="1"/>
        <v>310977.77131838264</v>
      </c>
      <c r="AG12" s="6">
        <f t="shared" si="1"/>
        <v>317197.32674475032</v>
      </c>
      <c r="AH12" s="6">
        <f t="shared" si="1"/>
        <v>323541.27327964531</v>
      </c>
      <c r="AI12" s="6">
        <f t="shared" si="1"/>
        <v>330012.09874523827</v>
      </c>
      <c r="AJ12" s="6">
        <f t="shared" si="1"/>
        <v>336612.34072014299</v>
      </c>
      <c r="AK12" s="6">
        <f t="shared" si="1"/>
        <v>343344.58753454586</v>
      </c>
      <c r="AL12" s="6">
        <f t="shared" si="1"/>
        <v>350211.47928523674</v>
      </c>
      <c r="AM12" s="6">
        <f t="shared" si="1"/>
        <v>357215.70887094148</v>
      </c>
    </row>
    <row r="13" spans="1:39" x14ac:dyDescent="0.2">
      <c r="B13"/>
    </row>
    <row r="14" spans="1:39" x14ac:dyDescent="0.2">
      <c r="A14" s="3" t="s">
        <v>24</v>
      </c>
      <c r="B14" s="4">
        <f xml:space="preserve"> B4 /B2</f>
        <v>0.25579345978143847</v>
      </c>
      <c r="C14" s="4">
        <f xml:space="preserve"> C4 /C2</f>
        <v>0.25603196557553404</v>
      </c>
      <c r="D14" s="4">
        <f xml:space="preserve"> D4 /D2</f>
        <v>0.25405805092443562</v>
      </c>
      <c r="E14" s="4">
        <f xml:space="preserve"> E4 /E2</f>
        <v>0.26470663966593411</v>
      </c>
      <c r="F14" s="4">
        <f xml:space="preserve"> F4 /F2</f>
        <v>0.2515055987799884</v>
      </c>
      <c r="G14" s="4">
        <f xml:space="preserve"> G4 /G2</f>
        <v>0.25141910513294774</v>
      </c>
      <c r="H14" s="4">
        <f xml:space="preserve"> H4 /H2</f>
        <v>0.26362272030276335</v>
      </c>
      <c r="I14" s="4">
        <f xml:space="preserve"> I4 /I2</f>
        <v>0.25635438602597793</v>
      </c>
      <c r="J14" s="4">
        <f xml:space="preserve"> J4 /J2</f>
        <v>0.24846469910403232</v>
      </c>
      <c r="K14" s="4">
        <f xml:space="preserve"> K4 /K2</f>
        <v>0.26349071388344625</v>
      </c>
      <c r="L14" s="4">
        <f xml:space="preserve"> L4 /L2</f>
        <v>0.26056940985243687</v>
      </c>
      <c r="M14" s="4">
        <f xml:space="preserve"> M4 /M2</f>
        <v>0.26812576801352611</v>
      </c>
      <c r="N14" s="4">
        <f xml:space="preserve"> N4 /N2</f>
        <v>0.22275353962457556</v>
      </c>
      <c r="O14" s="4">
        <f xml:space="preserve"> O4 /O2</f>
        <v>0.25581316470928278</v>
      </c>
      <c r="P14" s="4">
        <f xml:space="preserve"> P4 /P2</f>
        <v>0.25079057483571754</v>
      </c>
      <c r="Q14" s="4">
        <f xml:space="preserve"> Q4 /Q2</f>
        <v>0.268125768013526</v>
      </c>
    </row>
    <row r="15" spans="1:39" x14ac:dyDescent="0.2">
      <c r="A15" s="3" t="s">
        <v>25</v>
      </c>
      <c r="B15" s="4">
        <f xml:space="preserve"> B8/B2</f>
        <v>0.14831049203360311</v>
      </c>
      <c r="C15" s="4">
        <f xml:space="preserve"> C8/C2</f>
        <v>0.15177245018185545</v>
      </c>
      <c r="D15" s="4">
        <f xml:space="preserve"> D8/D2</f>
        <v>0.13987965285457948</v>
      </c>
      <c r="E15" s="4">
        <f xml:space="preserve"> E8/E2</f>
        <v>0.15807242638539051</v>
      </c>
      <c r="F15" s="4">
        <f xml:space="preserve"> F8/F2</f>
        <v>0.15313157485985399</v>
      </c>
      <c r="G15" s="4">
        <f xml:space="preserve"> G8/G2</f>
        <v>0.17891130886642789</v>
      </c>
      <c r="H15" s="4">
        <f xml:space="preserve"> H8/H2</f>
        <v>0.17618348504127107</v>
      </c>
      <c r="I15" s="4">
        <f xml:space="preserve"> I8/I2</f>
        <v>0.12744043578899736</v>
      </c>
      <c r="J15" s="4">
        <f xml:space="preserve"> J8/J2</f>
        <v>0.15732640027302761</v>
      </c>
      <c r="K15" s="4">
        <f xml:space="preserve"> K8/K2</f>
        <v>0.17038639469015165</v>
      </c>
      <c r="L15" s="4">
        <f xml:space="preserve"> L8/L2</f>
        <v>0.17414728722853917</v>
      </c>
      <c r="M15" s="4">
        <f xml:space="preserve"> M8/M2</f>
        <v>0.13012403702295575</v>
      </c>
      <c r="N15" s="4">
        <f xml:space="preserve"> N8/N2</f>
        <v>0.1507643026459094</v>
      </c>
      <c r="O15" s="4">
        <f xml:space="preserve"> O8/O2</f>
        <v>9.7127925015779007E-2</v>
      </c>
      <c r="P15" s="4">
        <f xml:space="preserve"> P8/P2</f>
        <v>0.15030636533238767</v>
      </c>
      <c r="Q15" s="4">
        <f xml:space="preserve"> Q8/Q2</f>
        <v>0.12284107369858865</v>
      </c>
    </row>
    <row r="16" spans="1:39" x14ac:dyDescent="0.2">
      <c r="A16" s="3" t="s">
        <v>26</v>
      </c>
      <c r="B16" s="4">
        <f xml:space="preserve"> B12/B2</f>
        <v>0.10551059345811874</v>
      </c>
      <c r="C16" s="4">
        <f xml:space="preserve"> C12/C2</f>
        <v>9.991254839110994E-2</v>
      </c>
      <c r="D16" s="4">
        <f xml:space="preserve"> D12/D2</f>
        <v>0.10157796270385869</v>
      </c>
      <c r="E16" s="4">
        <f xml:space="preserve"> E12/E2</f>
        <v>0.11014360168971675</v>
      </c>
      <c r="F16" s="4">
        <f xml:space="preserve"> F12/F2</f>
        <v>0.1113984241517107</v>
      </c>
      <c r="G16" s="4">
        <f xml:space="preserve"> G12/G2</f>
        <v>0.12020517020869489</v>
      </c>
      <c r="H16" s="4">
        <f xml:space="preserve"> H12/H2</f>
        <v>0.12834002153273955</v>
      </c>
      <c r="I16" s="4">
        <f xml:space="preserve"> I12/I2</f>
        <v>8.2905492031999622E-2</v>
      </c>
      <c r="J16" s="4">
        <f xml:space="preserve"> J12/J2</f>
        <v>0.10025327911127983</v>
      </c>
      <c r="K16" s="4">
        <f xml:space="preserve"> K12/K2</f>
        <v>0.11490814282375125</v>
      </c>
      <c r="L16" s="4">
        <f xml:space="preserve"> L12/L2</f>
        <v>0.11284133627030099</v>
      </c>
      <c r="M16" s="4">
        <f xml:space="preserve"> M12/M2</f>
        <v>8.009789050122168E-2</v>
      </c>
      <c r="N16" s="4">
        <f xml:space="preserve"> N12/N2</f>
        <v>0.10333013005317446</v>
      </c>
      <c r="O16" s="4">
        <f xml:space="preserve"> O12/O2</f>
        <v>5.9762636481074036E-2</v>
      </c>
      <c r="P16" s="4">
        <f xml:space="preserve"> P12/P2</f>
        <v>8.1777186012186046E-2</v>
      </c>
      <c r="Q16" s="4">
        <f xml:space="preserve"> Q12/Q2</f>
        <v>9.1528273618360259E-2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4">
        <v>0.1</v>
      </c>
      <c r="Z16" s="4">
        <v>0.1</v>
      </c>
      <c r="AA16" s="4">
        <v>0.1</v>
      </c>
      <c r="AB16" s="4">
        <v>0.1</v>
      </c>
      <c r="AC16" s="4">
        <v>0.1</v>
      </c>
      <c r="AD16" s="4">
        <v>0.1</v>
      </c>
      <c r="AE16" s="4">
        <v>0.1</v>
      </c>
      <c r="AF16" s="4">
        <v>0.1</v>
      </c>
      <c r="AG16" s="4">
        <v>0.1</v>
      </c>
      <c r="AH16" s="4">
        <v>0.1</v>
      </c>
      <c r="AI16" s="4">
        <v>0.1</v>
      </c>
      <c r="AJ16" s="4">
        <v>0.1</v>
      </c>
      <c r="AK16" s="4">
        <v>0.1</v>
      </c>
      <c r="AL16" s="4">
        <v>0.1</v>
      </c>
      <c r="AM16" s="4">
        <v>0.1</v>
      </c>
    </row>
    <row r="17" spans="1:22" x14ac:dyDescent="0.2">
      <c r="B17"/>
    </row>
    <row r="18" spans="1:22" x14ac:dyDescent="0.2">
      <c r="A18" s="3" t="s">
        <v>27</v>
      </c>
      <c r="B18" s="4" t="e">
        <f>B2/#REF! - 1</f>
        <v>#REF!</v>
      </c>
      <c r="C18" s="4" t="e">
        <f>C2/#REF! - 1</f>
        <v>#REF!</v>
      </c>
      <c r="D18" s="4" t="e">
        <f>D2/#REF! - 1</f>
        <v>#REF!</v>
      </c>
      <c r="E18" s="4" t="e">
        <f t="shared" ref="E18:M18" si="2">E2/A2 - 1</f>
        <v>#VALUE!</v>
      </c>
      <c r="F18" s="4">
        <f t="shared" si="2"/>
        <v>0.17750537258960897</v>
      </c>
      <c r="G18" s="4">
        <f t="shared" si="2"/>
        <v>9.003124839915988E-2</v>
      </c>
      <c r="H18" s="4">
        <f t="shared" si="2"/>
        <v>-2.3103719733935879E-2</v>
      </c>
      <c r="I18" s="4">
        <f t="shared" si="2"/>
        <v>0.3054334177989757</v>
      </c>
      <c r="J18" s="4">
        <f t="shared" si="2"/>
        <v>-7.9415481721007097E-2</v>
      </c>
      <c r="K18" s="4">
        <f t="shared" si="2"/>
        <v>6.9921349182105352E-2</v>
      </c>
      <c r="L18" s="4">
        <f t="shared" si="2"/>
        <v>8.7894359074744743E-2</v>
      </c>
      <c r="M18" s="4">
        <f t="shared" si="2"/>
        <v>-0.10584706776426089</v>
      </c>
      <c r="N18" s="4">
        <f>N2/J2 - 1</f>
        <v>-0.25181043755356536</v>
      </c>
      <c r="O18" s="4">
        <f>O2/K2 - 1</f>
        <v>6.3783125763777093E-2</v>
      </c>
      <c r="P18" s="4">
        <f>P2/L2 - 1</f>
        <v>1.0000000000000009E-2</v>
      </c>
      <c r="Q18" s="4">
        <f>Q2/M2 - 1</f>
        <v>5.0000000000000044E-2</v>
      </c>
    </row>
    <row r="19" spans="1:22" x14ac:dyDescent="0.2">
      <c r="A19" s="3" t="s">
        <v>28</v>
      </c>
      <c r="B19"/>
      <c r="F19" s="4">
        <f xml:space="preserve"> F12/B12 - 1</f>
        <v>0.24321396210061863</v>
      </c>
      <c r="G19" s="4">
        <f xml:space="preserve"> G12/C12 - 1</f>
        <v>0.31142077603413232</v>
      </c>
      <c r="H19" s="4">
        <f xml:space="preserve"> H12/D12 - 1</f>
        <v>0.23427253616140065</v>
      </c>
      <c r="I19" s="4">
        <f xml:space="preserve"> I12/E12 - 1</f>
        <v>-1.7395489548954868E-2</v>
      </c>
      <c r="J19" s="4">
        <f xml:space="preserve"> J12/F12 - 1</f>
        <v>-0.17151775387004264</v>
      </c>
      <c r="K19" s="4">
        <f xml:space="preserve"> K12/G12 - 1</f>
        <v>2.2773604401128189E-2</v>
      </c>
      <c r="L19" s="4">
        <f xml:space="preserve"> L12/H12 - 1</f>
        <v>-4.3482681919288169E-2</v>
      </c>
      <c r="M19" s="4">
        <f xml:space="preserve"> M12/I12 - 1</f>
        <v>-0.13612763277587292</v>
      </c>
      <c r="N19" s="4">
        <f xml:space="preserve"> N12/J12 - 1</f>
        <v>-0.22884791921664627</v>
      </c>
      <c r="O19" s="4">
        <f xml:space="preserve"> O12/K12 - 1</f>
        <v>-0.44673647421807805</v>
      </c>
      <c r="P19" s="4">
        <f xml:space="preserve"> P12/L12 - 1</f>
        <v>-0.26804342626305555</v>
      </c>
      <c r="Q19" s="4">
        <f xml:space="preserve"> Q12/M12 - 1</f>
        <v>0.19984042897874388</v>
      </c>
      <c r="T19" t="s">
        <v>54</v>
      </c>
      <c r="U19" s="4">
        <v>0.08</v>
      </c>
      <c r="V19" t="s">
        <v>55</v>
      </c>
    </row>
    <row r="20" spans="1:22" x14ac:dyDescent="0.2">
      <c r="B20"/>
      <c r="T20" t="s">
        <v>56</v>
      </c>
      <c r="U20" s="7">
        <f xml:space="preserve"> NPV(U19, V12:AM12)</f>
        <v>2690381.9589831079</v>
      </c>
    </row>
    <row r="21" spans="1:22" x14ac:dyDescent="0.2">
      <c r="A21" s="3" t="s">
        <v>31</v>
      </c>
      <c r="B21" t="s">
        <v>14</v>
      </c>
    </row>
    <row r="22" spans="1:22" x14ac:dyDescent="0.2">
      <c r="A22" s="3" t="s">
        <v>32</v>
      </c>
      <c r="B22"/>
    </row>
    <row r="23" spans="1:22" x14ac:dyDescent="0.2">
      <c r="A23" s="3" t="s">
        <v>33</v>
      </c>
      <c r="B23" s="3">
        <v>47089</v>
      </c>
    </row>
    <row r="24" spans="1:22" x14ac:dyDescent="0.2">
      <c r="A24" s="3" t="s">
        <v>34</v>
      </c>
      <c r="B24" s="3">
        <v>2418</v>
      </c>
    </row>
    <row r="25" spans="1:22" x14ac:dyDescent="0.2">
      <c r="A25" s="3" t="s">
        <v>35</v>
      </c>
      <c r="B25" s="3">
        <v>411618</v>
      </c>
    </row>
    <row r="26" spans="1:22" x14ac:dyDescent="0.2">
      <c r="A26" s="3" t="s">
        <v>36</v>
      </c>
      <c r="B26" s="3">
        <v>8399</v>
      </c>
    </row>
    <row r="27" spans="1:22" ht="15" x14ac:dyDescent="0.25">
      <c r="A27" s="2" t="s">
        <v>37</v>
      </c>
      <c r="B27" s="3">
        <f>SUM(B23:B26)</f>
        <v>469524</v>
      </c>
    </row>
    <row r="29" spans="1:22" x14ac:dyDescent="0.2">
      <c r="A29" s="3" t="s">
        <v>38</v>
      </c>
      <c r="B29" s="3">
        <v>32319</v>
      </c>
    </row>
    <row r="30" spans="1:22" x14ac:dyDescent="0.2">
      <c r="A30" s="3" t="s">
        <v>39</v>
      </c>
      <c r="B30" s="3">
        <v>2287</v>
      </c>
    </row>
    <row r="31" spans="1:22" x14ac:dyDescent="0.2">
      <c r="A31" s="3" t="s">
        <v>40</v>
      </c>
      <c r="B31" s="3">
        <v>685625</v>
      </c>
    </row>
    <row r="32" spans="1:22" x14ac:dyDescent="0.2">
      <c r="A32" s="3" t="s">
        <v>41</v>
      </c>
      <c r="B32" s="3">
        <v>9246</v>
      </c>
    </row>
    <row r="33" spans="1:2" x14ac:dyDescent="0.2">
      <c r="A33" s="3" t="s">
        <v>42</v>
      </c>
      <c r="B33" s="3">
        <v>14894</v>
      </c>
    </row>
    <row r="34" spans="1:2" x14ac:dyDescent="0.2">
      <c r="A34" s="3" t="s">
        <v>44</v>
      </c>
      <c r="B34" s="3">
        <f>SUM(B29:B33)</f>
        <v>744371</v>
      </c>
    </row>
    <row r="35" spans="1:2" ht="15" x14ac:dyDescent="0.25">
      <c r="A35" s="2" t="s">
        <v>43</v>
      </c>
      <c r="B35" s="2">
        <f xml:space="preserve"> B34 +B27</f>
        <v>1213895</v>
      </c>
    </row>
    <row r="37" spans="1:2" x14ac:dyDescent="0.2">
      <c r="A37" s="3" t="s">
        <v>45</v>
      </c>
    </row>
    <row r="38" spans="1:2" x14ac:dyDescent="0.2">
      <c r="A38" s="3" t="s">
        <v>46</v>
      </c>
      <c r="B38" s="3">
        <v>16262</v>
      </c>
    </row>
    <row r="39" spans="1:2" x14ac:dyDescent="0.2">
      <c r="A39" s="3" t="s">
        <v>47</v>
      </c>
      <c r="B39" s="3">
        <v>16262</v>
      </c>
    </row>
    <row r="41" spans="1:2" x14ac:dyDescent="0.2">
      <c r="A41" s="3" t="s">
        <v>48</v>
      </c>
      <c r="B41" s="3">
        <v>200571</v>
      </c>
    </row>
    <row r="42" spans="1:2" x14ac:dyDescent="0.2">
      <c r="A42" s="3" t="s">
        <v>49</v>
      </c>
      <c r="B42" s="3">
        <v>583000</v>
      </c>
    </row>
    <row r="43" spans="1:2" x14ac:dyDescent="0.2">
      <c r="A43" s="3" t="s">
        <v>41</v>
      </c>
      <c r="B43" s="3">
        <v>684</v>
      </c>
    </row>
    <row r="44" spans="1:2" x14ac:dyDescent="0.2">
      <c r="A44" s="3" t="s">
        <v>50</v>
      </c>
      <c r="B44" s="3">
        <v>28053</v>
      </c>
    </row>
    <row r="45" spans="1:2" x14ac:dyDescent="0.2">
      <c r="A45" s="3" t="s">
        <v>46</v>
      </c>
      <c r="B45" s="3">
        <v>11374</v>
      </c>
    </row>
    <row r="47" spans="1:2" ht="15" x14ac:dyDescent="0.25">
      <c r="A47" s="2" t="s">
        <v>51</v>
      </c>
      <c r="B47" s="3">
        <f xml:space="preserve"> SUM(B41:B45) +B39</f>
        <v>839944</v>
      </c>
    </row>
    <row r="48" spans="1:2" ht="15" x14ac:dyDescent="0.25">
      <c r="A48" s="1"/>
    </row>
    <row r="49" spans="1:2" ht="15" x14ac:dyDescent="0.25">
      <c r="A49" t="s">
        <v>52</v>
      </c>
      <c r="B49" s="2">
        <f xml:space="preserve"> B35 - B47</f>
        <v>373951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80FD-8BCA-4315-BED0-3215CAF30736}">
  <dimension ref="B3:C8"/>
  <sheetViews>
    <sheetView workbookViewId="0">
      <selection activeCell="C4" sqref="C4"/>
    </sheetView>
  </sheetViews>
  <sheetFormatPr defaultRowHeight="14.25" x14ac:dyDescent="0.2"/>
  <sheetData>
    <row r="3" spans="2:3" x14ac:dyDescent="0.2">
      <c r="B3" t="s">
        <v>58</v>
      </c>
    </row>
    <row r="4" spans="2:3" x14ac:dyDescent="0.2">
      <c r="B4" t="s">
        <v>59</v>
      </c>
    </row>
    <row r="5" spans="2:3" x14ac:dyDescent="0.2">
      <c r="B5" t="s">
        <v>60</v>
      </c>
    </row>
    <row r="6" spans="2:3" x14ac:dyDescent="0.2">
      <c r="B6" t="s">
        <v>42</v>
      </c>
      <c r="C6" s="3">
        <v>14894</v>
      </c>
    </row>
    <row r="7" spans="2:3" x14ac:dyDescent="0.2">
      <c r="B7" t="s">
        <v>57</v>
      </c>
      <c r="C7" s="3">
        <v>583000</v>
      </c>
    </row>
    <row r="8" spans="2:3" x14ac:dyDescent="0.2">
      <c r="B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Financials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2023-08-19T04:36:25Z</dcterms:created>
  <dcterms:modified xsi:type="dcterms:W3CDTF">2023-08-19T05:19:13Z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2023-08-19T04:36:27Z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f19a3f5a-0dda-4ba6-b219-421b5a1c1205</vt:lpwstr>
  </property>
  <property fmtid="{D5CDD505-2E9C-101B-9397-08002B2CF9AE}" pid="8" name="MSIP_Label_defa4170-0d19-0005-0004-bc88714345d2_ContentBits">
    <vt:lpwstr>0</vt:lpwstr>
  </property>
</Properties>
</file>