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"/>
    </mc:Choice>
  </mc:AlternateContent>
  <xr:revisionPtr revIDLastSave="0" documentId="13_ncr:1_{CF32112A-803F-4597-8055-6C6FA1CC08E3}" xr6:coauthVersionLast="47" xr6:coauthVersionMax="47" xr10:uidLastSave="{00000000-0000-0000-0000-000000000000}"/>
  <bookViews>
    <workbookView xWindow="14400" yWindow="0" windowWidth="14400" windowHeight="15600" xr2:uid="{06864EA7-C6AA-4824-884F-111C4FFDF613}"/>
  </bookViews>
  <sheets>
    <sheet name="Main Model" sheetId="1" r:id="rId1"/>
    <sheet name="Business Overview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B73" i="1"/>
  <c r="B71" i="1"/>
  <c r="B60" i="1"/>
  <c r="B50" i="1"/>
  <c r="B38" i="1"/>
  <c r="M22" i="1"/>
  <c r="M11" i="1"/>
  <c r="M6" i="1"/>
  <c r="I22" i="1"/>
  <c r="I11" i="1"/>
  <c r="I6" i="1"/>
  <c r="I15" i="1" s="1"/>
  <c r="H22" i="1"/>
  <c r="H11" i="1"/>
  <c r="H6" i="1"/>
  <c r="L22" i="1"/>
  <c r="L11" i="1"/>
  <c r="L6" i="1"/>
  <c r="L15" i="1" s="1"/>
  <c r="J22" i="1"/>
  <c r="J11" i="1"/>
  <c r="J6" i="1"/>
  <c r="N22" i="1"/>
  <c r="N11" i="1"/>
  <c r="N6" i="1"/>
  <c r="K22" i="1"/>
  <c r="K11" i="1"/>
  <c r="K6" i="1"/>
  <c r="O22" i="1"/>
  <c r="O11" i="1"/>
  <c r="O6" i="1"/>
  <c r="C6" i="3"/>
  <c r="I23" i="1" l="1"/>
  <c r="I25" i="1" s="1"/>
  <c r="I27" i="1" s="1"/>
  <c r="M15" i="1"/>
  <c r="M23" i="1" s="1"/>
  <c r="M25" i="1" s="1"/>
  <c r="M27" i="1" s="1"/>
  <c r="H15" i="1"/>
  <c r="H23" i="1" s="1"/>
  <c r="H25" i="1" s="1"/>
  <c r="H27" i="1" s="1"/>
  <c r="L23" i="1"/>
  <c r="L25" i="1" s="1"/>
  <c r="L27" i="1" s="1"/>
  <c r="O15" i="1"/>
  <c r="O23" i="1" s="1"/>
  <c r="O25" i="1" s="1"/>
  <c r="O27" i="1" s="1"/>
  <c r="K15" i="1"/>
  <c r="K23" i="1" s="1"/>
  <c r="K25" i="1" s="1"/>
  <c r="K27" i="1" s="1"/>
  <c r="J15" i="1"/>
  <c r="J23" i="1" s="1"/>
  <c r="J25" i="1" s="1"/>
  <c r="J27" i="1" s="1"/>
  <c r="N15" i="1"/>
  <c r="N23" i="1" l="1"/>
  <c r="N25" i="1" s="1"/>
  <c r="N27" i="1" s="1"/>
</calcChain>
</file>

<file path=xl/sharedStrings.xml><?xml version="1.0" encoding="utf-8"?>
<sst xmlns="http://schemas.openxmlformats.org/spreadsheetml/2006/main" count="89" uniqueCount="87">
  <si>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</si>
  <si>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</si>
  <si>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</si>
  <si>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</si>
  <si>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</si>
  <si>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</si>
  <si>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</si>
  <si>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</si>
  <si>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</si>
  <si>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</si>
  <si>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</si>
  <si>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</si>
  <si>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</si>
  <si>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</si>
  <si>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Price</t>
  </si>
  <si>
    <t>Shares Outstanding</t>
  </si>
  <si>
    <t>MC</t>
  </si>
  <si>
    <t>Cash</t>
  </si>
  <si>
    <t>Debt</t>
  </si>
  <si>
    <t>EV</t>
  </si>
  <si>
    <t>Revenues</t>
  </si>
  <si>
    <t>Net Premiums Written</t>
  </si>
  <si>
    <t>Change in net unearned premiums</t>
  </si>
  <si>
    <t>Net Premiums earned</t>
  </si>
  <si>
    <t>Net Investment Income</t>
  </si>
  <si>
    <t>Net investment gains (losses)</t>
  </si>
  <si>
    <t>Net realized and unrealized gains (losses) on investments</t>
  </si>
  <si>
    <t>Change in allowance for expected credit losses on investments</t>
  </si>
  <si>
    <t>Revenues from non-insurance businesses</t>
  </si>
  <si>
    <t>Insurance service fees</t>
  </si>
  <si>
    <t>Total Revenues</t>
  </si>
  <si>
    <t>Operating Costs and Expenses</t>
  </si>
  <si>
    <t>Losses and loss expenses</t>
  </si>
  <si>
    <t>Other operating costs and expenses</t>
  </si>
  <si>
    <t>Expenses from non-insurance businesses</t>
  </si>
  <si>
    <t>Interest expense</t>
  </si>
  <si>
    <t>Total operating costs and expenses</t>
  </si>
  <si>
    <t>Income before income taxes</t>
  </si>
  <si>
    <t>Income tax expense</t>
  </si>
  <si>
    <t>Net Income before non-controlling interests</t>
  </si>
  <si>
    <t>Noncontrolling interests</t>
  </si>
  <si>
    <t>Net Income</t>
  </si>
  <si>
    <t>Other Income</t>
  </si>
  <si>
    <t>Balance Sheet</t>
  </si>
  <si>
    <t>Assets</t>
  </si>
  <si>
    <t>Investments</t>
  </si>
  <si>
    <t>Fixed maturity securities</t>
  </si>
  <si>
    <t>Investment Funds</t>
  </si>
  <si>
    <t>Real Estate</t>
  </si>
  <si>
    <t>Equity Securities</t>
  </si>
  <si>
    <t>Arbitrage trading accont</t>
  </si>
  <si>
    <t>Loans Receivable</t>
  </si>
  <si>
    <t>Total Investments</t>
  </si>
  <si>
    <t>Cash and Equivalents</t>
  </si>
  <si>
    <t>Premiums and Fees Receivable</t>
  </si>
  <si>
    <t>Due from reinsurers</t>
  </si>
  <si>
    <t>Deferred policy acquisition costs</t>
  </si>
  <si>
    <t>Prepaid reinsurance premiums</t>
  </si>
  <si>
    <t>Trading account receivables from brokers and clearing organizations</t>
  </si>
  <si>
    <t>PPE</t>
  </si>
  <si>
    <t>Goodwill</t>
  </si>
  <si>
    <t>Accrued investment income</t>
  </si>
  <si>
    <t>Current and deferred federal and foreign income taxes</t>
  </si>
  <si>
    <t>Other assets</t>
  </si>
  <si>
    <t>Total Assets</t>
  </si>
  <si>
    <t>Liability and Equity</t>
  </si>
  <si>
    <t>Liabilities</t>
  </si>
  <si>
    <t>Reserves for losses and loss expenses</t>
  </si>
  <si>
    <t>Unearned premiums</t>
  </si>
  <si>
    <t>Due to reinsurers</t>
  </si>
  <si>
    <t>Other liabilities</t>
  </si>
  <si>
    <t>Senior notes and other debt</t>
  </si>
  <si>
    <t>Subordinated Debentures</t>
  </si>
  <si>
    <t>Total Liabilities</t>
  </si>
  <si>
    <t>Equity</t>
  </si>
  <si>
    <t>Preferred Stocks</t>
  </si>
  <si>
    <t>Authorized 5,000,000 shares; issued and outstanding none</t>
  </si>
  <si>
    <t>Commopn stock, par vlaue 0.20 per share</t>
  </si>
  <si>
    <t>Authorized 1,250,000,000 shares, issued and outstanding</t>
  </si>
  <si>
    <t>Additional paid-in capital</t>
  </si>
  <si>
    <t>Retained earnings</t>
  </si>
  <si>
    <t>Accumulated other comprehensive loss</t>
  </si>
  <si>
    <t>Treasury stock, at cost, respectivel</t>
  </si>
  <si>
    <t>Total SE</t>
  </si>
  <si>
    <t>Noncontrlling interests</t>
  </si>
  <si>
    <t>Total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</si>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</sst>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5" fontId="0" fillId="0" borderId="0" xfId="1" applyNumberFormat="1" applyFont="1"/>
    <xf numFmtId="15" fontId="0" fillId="0" borderId="0" xfId="0" applyNumberFormat="1"/>
    <xf numFmtId="0" fontId="2" fillId="0" borderId="0" xfId="0" applyFont="1"/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A1DF-858A-4FB8-9702-572027316F59}">
  <dimension ref="A1:O401"/>
  <sheetViews>
    <sheetView tabSelected="1" topLeftCell="A27" zoomScale="130" zoomScaleNormal="130" workbookViewId="0">
      <pane xSplit="1" topLeftCell="B1" activePane="topRight" state="frozen"/>
      <selection pane="topRight" activeCell="B30" sqref="B30"/>
    </sheetView>
  </sheetViews>
  <sheetFormatPr defaultRowHeight="14.25" x14ac:dyDescent="0.2"/>
  <cols>
    <col min="1" max="1" width="53.25" bestFit="1" customWidth="1"/>
    <col min="2" max="2" width="11.5" bestFit="1" customWidth="1"/>
    <col min="8" max="11" width="10.125" bestFit="1" customWidth="1"/>
    <col min="12" max="12" width="13.125" bestFit="1" customWidth="1"/>
    <col min="13" max="15" width="10.125" bestFit="1" customWidth="1"/>
  </cols>
  <sheetData>
    <row r="1" spans="1:15" x14ac:dyDescent="0.2">
      <c r="H1" s="2">
        <v>44469</v>
      </c>
      <c r="I1" s="2">
        <v>44561</v>
      </c>
      <c r="J1" s="2">
        <v>44651</v>
      </c>
      <c r="K1" s="2">
        <v>44742</v>
      </c>
      <c r="L1" s="2">
        <v>45199</v>
      </c>
      <c r="M1" s="2">
        <v>44926</v>
      </c>
      <c r="N1" s="2">
        <v>45016</v>
      </c>
      <c r="O1" s="2">
        <v>45107</v>
      </c>
    </row>
    <row r="2" spans="1:15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ht="15" x14ac:dyDescent="0.25">
      <c r="A3" s="3" t="s">
        <v>20</v>
      </c>
      <c r="B3" s="1"/>
      <c r="C3" s="1"/>
      <c r="D3" s="1"/>
      <c r="E3" s="1"/>
      <c r="F3" s="1"/>
      <c r="G3" s="1"/>
      <c r="H3" s="1"/>
      <c r="I3" s="1"/>
      <c r="L3" s="1"/>
      <c r="M3" s="1"/>
    </row>
    <row r="4" spans="1:15" ht="15" x14ac:dyDescent="0.25">
      <c r="A4" t="s">
        <v>21</v>
      </c>
      <c r="B4" s="1"/>
      <c r="C4" s="1"/>
      <c r="D4" s="1"/>
      <c r="E4" s="1"/>
      <c r="F4" s="1"/>
      <c r="G4" s="1"/>
      <c r="H4" s="4">
        <v>2325138</v>
      </c>
      <c r="I4" s="4">
        <v>2275509</v>
      </c>
      <c r="J4" s="4">
        <v>2413254</v>
      </c>
      <c r="K4" s="4">
        <v>2585635</v>
      </c>
      <c r="L4" s="4">
        <v>2577274</v>
      </c>
      <c r="M4" s="4">
        <v>2427907</v>
      </c>
      <c r="N4" s="4">
        <v>2574824</v>
      </c>
      <c r="O4" s="4">
        <v>2811515</v>
      </c>
    </row>
    <row r="5" spans="1:15" x14ac:dyDescent="0.2">
      <c r="A5" t="s">
        <v>22</v>
      </c>
      <c r="B5" s="1"/>
      <c r="C5" s="1"/>
      <c r="D5" s="1"/>
      <c r="E5" s="1"/>
      <c r="F5" s="1"/>
      <c r="G5" s="1"/>
      <c r="H5" s="1">
        <v>244120</v>
      </c>
      <c r="I5" s="1">
        <v>72076</v>
      </c>
      <c r="J5" s="1">
        <v>164167</v>
      </c>
      <c r="K5" s="1">
        <v>228477</v>
      </c>
      <c r="L5" s="1">
        <v>135313</v>
      </c>
      <c r="M5" s="1">
        <v>-85317</v>
      </c>
      <c r="N5" s="1">
        <v>83392</v>
      </c>
      <c r="O5" s="1">
        <v>258788</v>
      </c>
    </row>
    <row r="6" spans="1:15" x14ac:dyDescent="0.2">
      <c r="A6" t="s">
        <v>23</v>
      </c>
      <c r="B6" s="1"/>
      <c r="C6" s="1"/>
      <c r="D6" s="1"/>
      <c r="E6" s="1"/>
      <c r="F6" s="1"/>
      <c r="G6" s="1"/>
      <c r="H6" s="1">
        <f xml:space="preserve"> H4 - H5</f>
        <v>2081018</v>
      </c>
      <c r="I6" s="1">
        <f xml:space="preserve"> I4 - I5</f>
        <v>2203433</v>
      </c>
      <c r="J6" s="1">
        <f xml:space="preserve"> J4 - J5</f>
        <v>2249087</v>
      </c>
      <c r="K6" s="1">
        <f xml:space="preserve"> K4 - K5</f>
        <v>2357158</v>
      </c>
      <c r="L6" s="1">
        <f xml:space="preserve"> L4 - L5</f>
        <v>2441961</v>
      </c>
      <c r="M6" s="1">
        <f xml:space="preserve"> M4 - M5</f>
        <v>2513224</v>
      </c>
      <c r="N6" s="1">
        <f xml:space="preserve"> N4 - N5</f>
        <v>2491432</v>
      </c>
      <c r="O6" s="1">
        <f xml:space="preserve"> O4 - O5</f>
        <v>2552727</v>
      </c>
    </row>
    <row r="7" spans="1:15" x14ac:dyDescent="0.2">
      <c r="A7" t="s">
        <v>24</v>
      </c>
      <c r="B7" s="1"/>
      <c r="C7" s="1"/>
      <c r="D7" s="1"/>
      <c r="E7" s="1"/>
      <c r="F7" s="1"/>
      <c r="G7" s="1"/>
      <c r="H7" s="1">
        <v>179851</v>
      </c>
      <c r="I7" s="1">
        <v>165003</v>
      </c>
      <c r="J7" s="1">
        <v>173512</v>
      </c>
      <c r="K7" s="1">
        <v>171574</v>
      </c>
      <c r="L7" s="1">
        <v>202816</v>
      </c>
      <c r="M7" s="1">
        <v>231283</v>
      </c>
      <c r="N7" s="1">
        <v>223398</v>
      </c>
      <c r="O7" s="1">
        <v>245152</v>
      </c>
    </row>
    <row r="8" spans="1:15" x14ac:dyDescent="0.2">
      <c r="A8" t="s">
        <v>25</v>
      </c>
      <c r="B8" s="1"/>
      <c r="C8" s="1"/>
      <c r="D8" s="1"/>
      <c r="E8" s="1"/>
      <c r="F8" s="1"/>
      <c r="G8" s="1"/>
    </row>
    <row r="9" spans="1:15" x14ac:dyDescent="0.2">
      <c r="A9" t="s">
        <v>26</v>
      </c>
      <c r="B9" s="1"/>
      <c r="C9" s="1"/>
      <c r="D9" s="1"/>
      <c r="E9" s="1"/>
      <c r="F9" s="1"/>
      <c r="G9" s="1"/>
      <c r="H9" s="1">
        <v>17187</v>
      </c>
      <c r="I9" s="1">
        <v>17551</v>
      </c>
      <c r="J9" s="1">
        <v>369882</v>
      </c>
      <c r="K9" s="1">
        <v>-163935</v>
      </c>
      <c r="L9" s="1">
        <v>-66282</v>
      </c>
      <c r="M9" s="1">
        <v>77647</v>
      </c>
      <c r="N9" s="1">
        <v>22611</v>
      </c>
      <c r="O9" s="1">
        <v>68647</v>
      </c>
    </row>
    <row r="10" spans="1:15" x14ac:dyDescent="0.2">
      <c r="A10" t="s">
        <v>27</v>
      </c>
      <c r="B10" s="1"/>
      <c r="C10" s="1"/>
      <c r="D10" s="1"/>
      <c r="E10" s="1"/>
      <c r="F10" s="1"/>
      <c r="G10" s="1"/>
      <c r="H10" s="1">
        <v>2314</v>
      </c>
      <c r="I10" s="1">
        <v>-5322</v>
      </c>
      <c r="J10" s="1">
        <v>-3617</v>
      </c>
      <c r="K10" s="1">
        <v>-7620</v>
      </c>
      <c r="L10" s="1">
        <v>-1128</v>
      </c>
      <c r="M10" s="1">
        <v>-2549</v>
      </c>
      <c r="N10" s="1">
        <v>399</v>
      </c>
      <c r="O10" s="1">
        <v>-9993</v>
      </c>
    </row>
    <row r="11" spans="1:15" x14ac:dyDescent="0.2">
      <c r="A11" t="s">
        <v>25</v>
      </c>
      <c r="B11" s="1"/>
      <c r="C11" s="1"/>
      <c r="D11" s="1"/>
      <c r="E11" s="1"/>
      <c r="F11" s="1"/>
      <c r="G11" s="1"/>
      <c r="H11" s="1">
        <f xml:space="preserve"> H9 +H10</f>
        <v>19501</v>
      </c>
      <c r="I11" s="1">
        <f xml:space="preserve"> I9 +I10</f>
        <v>12229</v>
      </c>
      <c r="J11" s="1">
        <f xml:space="preserve"> J9 +J10</f>
        <v>366265</v>
      </c>
      <c r="K11" s="1">
        <f xml:space="preserve"> K9 +K10</f>
        <v>-171555</v>
      </c>
      <c r="L11" s="1">
        <f xml:space="preserve"> L9 +L10</f>
        <v>-67410</v>
      </c>
      <c r="M11" s="1">
        <f xml:space="preserve"> M9 +M10</f>
        <v>75098</v>
      </c>
      <c r="N11" s="1">
        <f xml:space="preserve"> N9 +N10</f>
        <v>23010</v>
      </c>
      <c r="O11" s="1">
        <f xml:space="preserve"> O9 +O10</f>
        <v>58654</v>
      </c>
    </row>
    <row r="12" spans="1:15" x14ac:dyDescent="0.2">
      <c r="A12" t="s">
        <v>28</v>
      </c>
      <c r="B12" s="1"/>
      <c r="C12" s="1"/>
      <c r="D12" s="1"/>
      <c r="E12" s="1"/>
      <c r="F12" s="1"/>
      <c r="G12" s="1"/>
      <c r="H12" s="1">
        <v>120374</v>
      </c>
      <c r="I12" s="1">
        <v>172225</v>
      </c>
      <c r="J12" s="1">
        <v>97776</v>
      </c>
      <c r="K12" s="1">
        <v>128421</v>
      </c>
      <c r="L12" s="1">
        <v>119013</v>
      </c>
      <c r="M12" s="1">
        <v>164338</v>
      </c>
      <c r="N12" s="1">
        <v>124200</v>
      </c>
      <c r="O12" s="1">
        <v>113910</v>
      </c>
    </row>
    <row r="13" spans="1:15" x14ac:dyDescent="0.2">
      <c r="A13" t="s">
        <v>29</v>
      </c>
      <c r="B13" s="1"/>
      <c r="C13" s="1"/>
      <c r="D13" s="1"/>
      <c r="E13" s="1"/>
      <c r="F13" s="1"/>
      <c r="G13" s="1"/>
      <c r="H13" s="1">
        <v>21467</v>
      </c>
      <c r="I13" s="1">
        <v>24326</v>
      </c>
      <c r="J13" s="1">
        <v>27951</v>
      </c>
      <c r="K13" s="1">
        <v>26393</v>
      </c>
      <c r="L13" s="1">
        <v>27940</v>
      </c>
      <c r="M13" s="1">
        <v>28260</v>
      </c>
      <c r="N13" s="1">
        <v>32857</v>
      </c>
      <c r="O13" s="1">
        <v>25471</v>
      </c>
    </row>
    <row r="14" spans="1:15" x14ac:dyDescent="0.2">
      <c r="A14" t="s">
        <v>42</v>
      </c>
      <c r="B14" s="1"/>
      <c r="C14" s="1"/>
      <c r="D14" s="1"/>
      <c r="E14" s="1"/>
      <c r="F14" s="1"/>
      <c r="G14" s="1"/>
      <c r="H14" s="1">
        <v>2072</v>
      </c>
      <c r="I14" s="1">
        <v>1014</v>
      </c>
      <c r="J14" s="1">
        <v>818</v>
      </c>
      <c r="K14" s="1">
        <v>896</v>
      </c>
      <c r="L14" s="1">
        <v>80</v>
      </c>
      <c r="M14" s="1">
        <v>1599</v>
      </c>
      <c r="N14" s="1">
        <v>107</v>
      </c>
      <c r="O14" s="1">
        <v>0</v>
      </c>
    </row>
    <row r="15" spans="1:15" x14ac:dyDescent="0.2">
      <c r="A15" t="s">
        <v>30</v>
      </c>
      <c r="B15" s="1"/>
      <c r="C15" s="1"/>
      <c r="D15" s="1"/>
      <c r="E15" s="1"/>
      <c r="F15" s="1"/>
      <c r="G15" s="1"/>
      <c r="H15" s="1">
        <f xml:space="preserve"> H6 +H7 +H11 +H12+H13 + H14</f>
        <v>2424283</v>
      </c>
      <c r="I15" s="1">
        <f xml:space="preserve"> I6 +I7 +I11 +I12+I13 + I14</f>
        <v>2578230</v>
      </c>
      <c r="J15" s="1">
        <f xml:space="preserve"> J6 +J7 +J11 +J12+J13 + J14</f>
        <v>2915409</v>
      </c>
      <c r="K15" s="1">
        <f xml:space="preserve"> K6 +K7 +K11 +K12+K13 + K14</f>
        <v>2512887</v>
      </c>
      <c r="L15" s="1">
        <f xml:space="preserve"> L6 +L7 +L11 +L12+L13 + L14</f>
        <v>2724400</v>
      </c>
      <c r="M15" s="1">
        <f xml:space="preserve"> M6 +M7 +M11 +M12+M13 + M14</f>
        <v>3013802</v>
      </c>
      <c r="N15" s="1">
        <f xml:space="preserve"> N6 +N7 +N11 +N12+N13 + N14</f>
        <v>2895004</v>
      </c>
      <c r="O15" s="1">
        <f xml:space="preserve"> O6 +O7 +O11 +O12+O13</f>
        <v>2995914</v>
      </c>
    </row>
    <row r="16" spans="1:15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" x14ac:dyDescent="0.25">
      <c r="A17" s="3" t="s">
        <v>31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t="s">
        <v>32</v>
      </c>
      <c r="B18" s="1"/>
      <c r="C18" s="1"/>
      <c r="D18" s="1"/>
      <c r="E18" s="1"/>
      <c r="F18" s="1"/>
      <c r="G18" s="1"/>
      <c r="H18" s="1">
        <v>1298392</v>
      </c>
      <c r="I18" s="1">
        <v>1330330</v>
      </c>
      <c r="J18" s="1">
        <v>1339252</v>
      </c>
      <c r="K18" s="1">
        <v>1435817</v>
      </c>
      <c r="L18" s="1">
        <v>1564578</v>
      </c>
      <c r="M18" s="1">
        <v>1522104</v>
      </c>
      <c r="N18" s="1">
        <v>1538755</v>
      </c>
      <c r="O18" s="1">
        <v>1569654</v>
      </c>
    </row>
    <row r="19" spans="1:15" x14ac:dyDescent="0.2">
      <c r="A19" t="s">
        <v>33</v>
      </c>
      <c r="B19" s="1"/>
      <c r="C19" s="1"/>
      <c r="D19" s="1"/>
      <c r="E19" s="1"/>
      <c r="F19" s="1"/>
      <c r="G19" s="1"/>
      <c r="H19" s="1">
        <v>643045</v>
      </c>
      <c r="I19" s="1">
        <v>692252</v>
      </c>
      <c r="J19" s="1">
        <v>713899</v>
      </c>
      <c r="K19" s="1">
        <v>699819</v>
      </c>
      <c r="L19" s="1">
        <v>725537</v>
      </c>
      <c r="M19" s="1">
        <v>822248</v>
      </c>
      <c r="N19" s="1">
        <v>825575</v>
      </c>
      <c r="O19" s="1">
        <v>823682</v>
      </c>
    </row>
    <row r="20" spans="1:15" x14ac:dyDescent="0.2">
      <c r="A20" t="s">
        <v>34</v>
      </c>
      <c r="B20" s="1"/>
      <c r="C20" s="1"/>
      <c r="D20" s="1"/>
      <c r="E20" s="1"/>
      <c r="F20" s="1"/>
      <c r="G20" s="1"/>
      <c r="H20" s="1">
        <v>115465</v>
      </c>
      <c r="I20" s="1">
        <v>163698</v>
      </c>
      <c r="J20" s="1">
        <v>94855</v>
      </c>
      <c r="K20" s="1">
        <v>122966</v>
      </c>
      <c r="L20" s="1">
        <v>116240</v>
      </c>
      <c r="M20" s="1">
        <v>159127</v>
      </c>
      <c r="N20" s="1">
        <v>122767</v>
      </c>
      <c r="O20" s="1">
        <v>113538</v>
      </c>
    </row>
    <row r="21" spans="1:15" x14ac:dyDescent="0.2">
      <c r="A21" t="s">
        <v>35</v>
      </c>
      <c r="B21" s="1"/>
      <c r="C21" s="1"/>
      <c r="D21" s="1"/>
      <c r="E21" s="1"/>
      <c r="F21" s="1"/>
      <c r="G21" s="1"/>
      <c r="H21" s="1">
        <v>35100</v>
      </c>
      <c r="I21" s="1">
        <v>37333</v>
      </c>
      <c r="J21" s="1">
        <v>34970</v>
      </c>
      <c r="K21" s="1">
        <v>31723</v>
      </c>
      <c r="L21" s="1">
        <v>31780</v>
      </c>
      <c r="M21" s="1">
        <v>31902</v>
      </c>
      <c r="N21" s="1">
        <v>31836</v>
      </c>
      <c r="O21" s="1">
        <v>31856</v>
      </c>
    </row>
    <row r="22" spans="1:15" x14ac:dyDescent="0.2">
      <c r="A22" t="s">
        <v>36</v>
      </c>
      <c r="B22" s="1"/>
      <c r="C22" s="1"/>
      <c r="D22" s="1"/>
      <c r="E22" s="1"/>
      <c r="F22" s="1"/>
      <c r="G22" s="1"/>
      <c r="H22" s="1">
        <f>SUM(H18:H21)</f>
        <v>2092002</v>
      </c>
      <c r="I22" s="1">
        <f>SUM(I18:I21)</f>
        <v>2223613</v>
      </c>
      <c r="J22" s="1">
        <f>SUM(J18:J21)</f>
        <v>2182976</v>
      </c>
      <c r="K22" s="1">
        <f>SUM(K18:K21)</f>
        <v>2290325</v>
      </c>
      <c r="L22" s="1">
        <f>SUM(L18:L21)</f>
        <v>2438135</v>
      </c>
      <c r="M22" s="1">
        <f>SUM(M18:M21)</f>
        <v>2535381</v>
      </c>
      <c r="N22" s="1">
        <f>SUM(N18:N21)</f>
        <v>2518933</v>
      </c>
      <c r="O22" s="1">
        <f>SUM(O18:O21)</f>
        <v>2538730</v>
      </c>
    </row>
    <row r="23" spans="1:15" x14ac:dyDescent="0.2">
      <c r="A23" t="s">
        <v>37</v>
      </c>
      <c r="B23" s="1"/>
      <c r="C23" s="1"/>
      <c r="D23" s="1"/>
      <c r="E23" s="1"/>
      <c r="F23" s="1"/>
      <c r="G23" s="1"/>
      <c r="H23" s="1">
        <f xml:space="preserve"> H15 -H22</f>
        <v>332281</v>
      </c>
      <c r="I23" s="1">
        <f xml:space="preserve"> I15 -I22</f>
        <v>354617</v>
      </c>
      <c r="J23" s="1">
        <f xml:space="preserve"> J15 -J22</f>
        <v>732433</v>
      </c>
      <c r="K23" s="1">
        <f xml:space="preserve"> K15 -K22</f>
        <v>222562</v>
      </c>
      <c r="L23" s="1">
        <f xml:space="preserve"> L15 -L22</f>
        <v>286265</v>
      </c>
      <c r="M23" s="1">
        <f xml:space="preserve"> M15 -M22</f>
        <v>478421</v>
      </c>
      <c r="N23" s="1">
        <f xml:space="preserve"> N15 -N22</f>
        <v>376071</v>
      </c>
      <c r="O23" s="1">
        <f xml:space="preserve"> O15 -O22</f>
        <v>457184</v>
      </c>
    </row>
    <row r="24" spans="1:15" x14ac:dyDescent="0.2">
      <c r="A24" t="s">
        <v>38</v>
      </c>
      <c r="B24" s="1"/>
      <c r="C24" s="1"/>
      <c r="D24" s="1"/>
      <c r="E24" s="1"/>
      <c r="F24" s="1"/>
      <c r="G24" s="1"/>
      <c r="H24" s="1">
        <v>-64963</v>
      </c>
      <c r="I24" s="1">
        <v>-60313</v>
      </c>
      <c r="J24" s="1">
        <v>-139403</v>
      </c>
      <c r="K24" s="1">
        <v>-43095</v>
      </c>
      <c r="L24" s="1">
        <v>-55791</v>
      </c>
      <c r="M24" s="1">
        <v>-96437</v>
      </c>
      <c r="N24" s="1">
        <v>-80342</v>
      </c>
      <c r="O24" s="1">
        <v>-101460</v>
      </c>
    </row>
    <row r="25" spans="1:15" x14ac:dyDescent="0.2">
      <c r="A25" t="s">
        <v>39</v>
      </c>
      <c r="B25" s="1"/>
      <c r="C25" s="1"/>
      <c r="D25" s="1"/>
      <c r="E25" s="1"/>
      <c r="F25" s="1"/>
      <c r="G25" s="1"/>
      <c r="H25" s="1">
        <f xml:space="preserve"> H23 +H24</f>
        <v>267318</v>
      </c>
      <c r="I25" s="1">
        <f xml:space="preserve"> I23 +I24</f>
        <v>294304</v>
      </c>
      <c r="J25" s="1">
        <f xml:space="preserve"> J23 +J24</f>
        <v>593030</v>
      </c>
      <c r="K25" s="1">
        <f xml:space="preserve"> K23 +K24</f>
        <v>179467</v>
      </c>
      <c r="L25" s="1">
        <f xml:space="preserve"> L23 +L24</f>
        <v>230474</v>
      </c>
      <c r="M25" s="1">
        <f xml:space="preserve"> M23 +M24</f>
        <v>381984</v>
      </c>
      <c r="N25" s="1">
        <f xml:space="preserve"> N23 +N24</f>
        <v>295729</v>
      </c>
      <c r="O25" s="1">
        <f xml:space="preserve"> O23 +O24</f>
        <v>355724</v>
      </c>
    </row>
    <row r="26" spans="1:15" x14ac:dyDescent="0.2">
      <c r="A26" t="s">
        <v>40</v>
      </c>
      <c r="B26" s="1"/>
      <c r="C26" s="1"/>
      <c r="D26" s="1"/>
      <c r="E26" s="1"/>
      <c r="F26" s="1"/>
      <c r="G26" s="1"/>
      <c r="H26" s="1">
        <v>-6021</v>
      </c>
      <c r="I26" s="1">
        <v>126</v>
      </c>
      <c r="J26" s="1">
        <v>-2392</v>
      </c>
      <c r="K26" s="1">
        <v>-145</v>
      </c>
      <c r="L26" s="1">
        <v>-1595</v>
      </c>
      <c r="M26" s="1">
        <v>239</v>
      </c>
      <c r="N26" s="1">
        <v>-1603</v>
      </c>
      <c r="O26" s="1">
        <v>584</v>
      </c>
    </row>
    <row r="27" spans="1:15" s="3" customFormat="1" ht="15" x14ac:dyDescent="0.25">
      <c r="A27" s="3" t="s">
        <v>41</v>
      </c>
      <c r="B27" s="4"/>
      <c r="C27" s="4"/>
      <c r="D27" s="4"/>
      <c r="E27" s="4"/>
      <c r="F27" s="4"/>
      <c r="G27" s="4"/>
      <c r="H27" s="4">
        <f xml:space="preserve"> H26 +H25</f>
        <v>261297</v>
      </c>
      <c r="I27" s="4">
        <f xml:space="preserve"> I26 +I25</f>
        <v>294430</v>
      </c>
      <c r="J27" s="4">
        <f xml:space="preserve"> J26 +J25</f>
        <v>592885</v>
      </c>
      <c r="K27" s="4">
        <f xml:space="preserve"> K26 +K25</f>
        <v>179322</v>
      </c>
      <c r="L27" s="4">
        <f xml:space="preserve"> L26 +L25</f>
        <v>228879</v>
      </c>
      <c r="M27" s="4">
        <f xml:space="preserve"> M26 +M25</f>
        <v>382223</v>
      </c>
      <c r="N27" s="4">
        <f xml:space="preserve"> N26 +N25</f>
        <v>294126</v>
      </c>
      <c r="O27" s="4">
        <f xml:space="preserve"> O26 +O25</f>
        <v>356308</v>
      </c>
    </row>
    <row r="29" spans="1:15" ht="15" x14ac:dyDescent="0.25">
      <c r="A29" s="3" t="s">
        <v>43</v>
      </c>
      <c r="B29" t="s">
        <v>13</v>
      </c>
    </row>
    <row r="30" spans="1:15" ht="15" x14ac:dyDescent="0.25">
      <c r="A30" s="3" t="s">
        <v>44</v>
      </c>
      <c r="B30" s="1"/>
    </row>
    <row r="31" spans="1:15" x14ac:dyDescent="0.2">
      <c r="A31" t="s">
        <v>45</v>
      </c>
      <c r="B31" s="1"/>
    </row>
    <row r="32" spans="1:15" x14ac:dyDescent="0.2">
      <c r="A32" t="s">
        <v>46</v>
      </c>
      <c r="B32" s="1">
        <v>18055623</v>
      </c>
    </row>
    <row r="33" spans="1:2" x14ac:dyDescent="0.2">
      <c r="A33" t="s">
        <v>47</v>
      </c>
      <c r="B33" s="1">
        <v>1594225</v>
      </c>
    </row>
    <row r="34" spans="1:2" x14ac:dyDescent="0.2">
      <c r="A34" t="s">
        <v>48</v>
      </c>
      <c r="B34" s="1">
        <v>1292200</v>
      </c>
    </row>
    <row r="35" spans="1:2" x14ac:dyDescent="0.2">
      <c r="A35" t="s">
        <v>49</v>
      </c>
      <c r="B35" s="1">
        <v>1239712</v>
      </c>
    </row>
    <row r="36" spans="1:2" x14ac:dyDescent="0.2">
      <c r="A36" t="s">
        <v>50</v>
      </c>
      <c r="B36" s="1">
        <v>723967</v>
      </c>
    </row>
    <row r="37" spans="1:2" x14ac:dyDescent="0.2">
      <c r="A37" t="s">
        <v>51</v>
      </c>
      <c r="B37" s="1">
        <v>181562</v>
      </c>
    </row>
    <row r="38" spans="1:2" ht="15" x14ac:dyDescent="0.25">
      <c r="A38" s="3" t="s">
        <v>52</v>
      </c>
      <c r="B38" s="1">
        <f>SUM(B32:B37)</f>
        <v>23087289</v>
      </c>
    </row>
    <row r="39" spans="1:2" x14ac:dyDescent="0.2">
      <c r="A39" t="s">
        <v>53</v>
      </c>
      <c r="B39" s="1">
        <v>1823558</v>
      </c>
    </row>
    <row r="40" spans="1:2" x14ac:dyDescent="0.2">
      <c r="A40" t="s">
        <v>54</v>
      </c>
      <c r="B40" s="1">
        <v>3042864</v>
      </c>
    </row>
    <row r="41" spans="1:2" x14ac:dyDescent="0.2">
      <c r="A41" t="s">
        <v>55</v>
      </c>
      <c r="B41" s="1">
        <v>3444721</v>
      </c>
    </row>
    <row r="42" spans="1:2" x14ac:dyDescent="0.2">
      <c r="A42" t="s">
        <v>56</v>
      </c>
      <c r="B42" s="1">
        <v>830315</v>
      </c>
    </row>
    <row r="43" spans="1:2" x14ac:dyDescent="0.2">
      <c r="A43" t="s">
        <v>57</v>
      </c>
      <c r="B43" s="1">
        <v>753094</v>
      </c>
    </row>
    <row r="44" spans="1:2" x14ac:dyDescent="0.2">
      <c r="A44" t="s">
        <v>58</v>
      </c>
      <c r="B44" s="1">
        <v>484457</v>
      </c>
    </row>
    <row r="45" spans="1:2" x14ac:dyDescent="0.2">
      <c r="A45" t="s">
        <v>59</v>
      </c>
      <c r="B45" s="1">
        <v>421049</v>
      </c>
    </row>
    <row r="46" spans="1:2" x14ac:dyDescent="0.2">
      <c r="A46" t="s">
        <v>60</v>
      </c>
      <c r="B46" s="1">
        <v>174597</v>
      </c>
    </row>
    <row r="47" spans="1:2" x14ac:dyDescent="0.2">
      <c r="A47" t="s">
        <v>61</v>
      </c>
      <c r="B47" s="1">
        <v>184729</v>
      </c>
    </row>
    <row r="48" spans="1:2" x14ac:dyDescent="0.2">
      <c r="A48" t="s">
        <v>62</v>
      </c>
      <c r="B48" s="1">
        <v>313837</v>
      </c>
    </row>
    <row r="49" spans="1:2" x14ac:dyDescent="0.2">
      <c r="A49" t="s">
        <v>63</v>
      </c>
      <c r="B49" s="1">
        <v>748184</v>
      </c>
    </row>
    <row r="50" spans="1:2" ht="15" x14ac:dyDescent="0.25">
      <c r="A50" s="3" t="s">
        <v>64</v>
      </c>
      <c r="B50" s="4">
        <f xml:space="preserve"> SUM(B38:B49)</f>
        <v>35308694</v>
      </c>
    </row>
    <row r="51" spans="1:2" x14ac:dyDescent="0.2">
      <c r="B51" s="1"/>
    </row>
    <row r="52" spans="1:2" ht="15" x14ac:dyDescent="0.25">
      <c r="A52" s="3" t="s">
        <v>65</v>
      </c>
      <c r="B52" s="1"/>
    </row>
    <row r="53" spans="1:2" ht="15" x14ac:dyDescent="0.25">
      <c r="A53" s="3" t="s">
        <v>66</v>
      </c>
      <c r="B53" s="1"/>
    </row>
    <row r="54" spans="1:2" x14ac:dyDescent="0.2">
      <c r="A54" t="s">
        <v>67</v>
      </c>
      <c r="B54" s="1">
        <v>17919996</v>
      </c>
    </row>
    <row r="55" spans="1:2" x14ac:dyDescent="0.2">
      <c r="A55" t="s">
        <v>68</v>
      </c>
      <c r="B55" s="1">
        <v>5698478</v>
      </c>
    </row>
    <row r="56" spans="1:2" x14ac:dyDescent="0.2">
      <c r="A56" t="s">
        <v>69</v>
      </c>
      <c r="B56" s="1">
        <v>598162</v>
      </c>
    </row>
    <row r="57" spans="1:2" x14ac:dyDescent="0.2">
      <c r="A57" t="s">
        <v>70</v>
      </c>
      <c r="B57" s="1">
        <v>1347896</v>
      </c>
    </row>
    <row r="58" spans="1:2" x14ac:dyDescent="0.2">
      <c r="A58" t="s">
        <v>71</v>
      </c>
      <c r="B58" s="1">
        <v>1827080</v>
      </c>
    </row>
    <row r="59" spans="1:2" x14ac:dyDescent="0.2">
      <c r="A59" t="s">
        <v>72</v>
      </c>
      <c r="B59" s="1">
        <v>1008730</v>
      </c>
    </row>
    <row r="60" spans="1:2" ht="15" x14ac:dyDescent="0.25">
      <c r="A60" t="s">
        <v>73</v>
      </c>
      <c r="B60" s="4">
        <f>SUM(B54:B59)</f>
        <v>28400342</v>
      </c>
    </row>
    <row r="61" spans="1:2" x14ac:dyDescent="0.2">
      <c r="B61" s="1"/>
    </row>
    <row r="62" spans="1:2" ht="15" x14ac:dyDescent="0.25">
      <c r="A62" s="3" t="s">
        <v>74</v>
      </c>
      <c r="B62" s="1"/>
    </row>
    <row r="63" spans="1:2" x14ac:dyDescent="0.2">
      <c r="A63" t="s">
        <v>75</v>
      </c>
      <c r="B63" s="1"/>
    </row>
    <row r="64" spans="1:2" x14ac:dyDescent="0.2">
      <c r="A64" t="s">
        <v>76</v>
      </c>
      <c r="B64" s="1">
        <v>0</v>
      </c>
    </row>
    <row r="65" spans="1:2" x14ac:dyDescent="0.2">
      <c r="A65" t="s">
        <v>77</v>
      </c>
      <c r="B65" s="1"/>
    </row>
    <row r="66" spans="1:2" x14ac:dyDescent="0.2">
      <c r="A66" t="s">
        <v>78</v>
      </c>
      <c r="B66" s="1">
        <v>105803</v>
      </c>
    </row>
    <row r="67" spans="1:2" x14ac:dyDescent="0.2">
      <c r="A67" t="s">
        <v>79</v>
      </c>
      <c r="B67" s="1">
        <v>1020818</v>
      </c>
    </row>
    <row r="68" spans="1:2" x14ac:dyDescent="0.2">
      <c r="A68" t="s">
        <v>80</v>
      </c>
      <c r="B68" s="1">
        <v>10624518</v>
      </c>
    </row>
    <row r="69" spans="1:2" x14ac:dyDescent="0.2">
      <c r="A69" t="s">
        <v>81</v>
      </c>
      <c r="B69" s="1">
        <v>-1181673</v>
      </c>
    </row>
    <row r="70" spans="1:2" x14ac:dyDescent="0.2">
      <c r="A70" t="s">
        <v>82</v>
      </c>
      <c r="B70" s="1">
        <v>-3682281</v>
      </c>
    </row>
    <row r="71" spans="1:2" x14ac:dyDescent="0.2">
      <c r="A71" t="s">
        <v>83</v>
      </c>
      <c r="B71" s="1">
        <f>SUM(B66:B70)</f>
        <v>6887185</v>
      </c>
    </row>
    <row r="72" spans="1:2" x14ac:dyDescent="0.2">
      <c r="A72" t="s">
        <v>84</v>
      </c>
      <c r="B72" s="1">
        <v>21167</v>
      </c>
    </row>
    <row r="73" spans="1:2" x14ac:dyDescent="0.2">
      <c r="A73" t="s">
        <v>85</v>
      </c>
      <c r="B73" s="1">
        <f xml:space="preserve"> B72 +B71</f>
        <v>6908352</v>
      </c>
    </row>
    <row r="74" spans="1:2" ht="15" x14ac:dyDescent="0.25">
      <c r="A74" t="s">
        <v>86</v>
      </c>
      <c r="B74" s="4">
        <f xml:space="preserve"> B73 +B60</f>
        <v>35308694</v>
      </c>
    </row>
    <row r="75" spans="1:2" x14ac:dyDescent="0.2">
      <c r="B75" s="1"/>
    </row>
    <row r="76" spans="1:2" x14ac:dyDescent="0.2">
      <c r="B76" s="1"/>
    </row>
    <row r="77" spans="1:2" x14ac:dyDescent="0.2">
      <c r="B77" s="1"/>
    </row>
    <row r="78" spans="1:2" x14ac:dyDescent="0.2">
      <c r="B78" s="1"/>
    </row>
    <row r="79" spans="1:2" x14ac:dyDescent="0.2">
      <c r="B79" s="1"/>
    </row>
    <row r="80" spans="1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7652-5809-4C4F-8F05-4B330E1BC5E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5A96-D3FF-4C81-BF07-1810B80BAE62}">
  <dimension ref="B2:C7"/>
  <sheetViews>
    <sheetView workbookViewId="0">
      <selection activeCell="C7" sqref="C7"/>
    </sheetView>
  </sheetViews>
  <sheetFormatPr defaultRowHeight="14.25" x14ac:dyDescent="0.2"/>
  <cols>
    <col min="3" max="3" width="14.75" bestFit="1" customWidth="1"/>
  </cols>
  <sheetData>
    <row r="2" spans="2:3" x14ac:dyDescent="0.2">
      <c r="B2" t="s">
        <v>14</v>
      </c>
    </row>
    <row r="3" spans="2:3" x14ac:dyDescent="0.2">
      <c r="B3" t="s">
        <v>15</v>
      </c>
      <c r="C3" s="1">
        <v>257523291</v>
      </c>
    </row>
    <row r="4" spans="2:3" x14ac:dyDescent="0.2">
      <c r="B4" t="s">
        <v>16</v>
      </c>
    </row>
    <row r="5" spans="2:3" x14ac:dyDescent="0.2">
      <c r="B5" t="s">
        <v>17</v>
      </c>
      <c r="C5">
        <v>1824</v>
      </c>
    </row>
    <row r="6" spans="2:3" x14ac:dyDescent="0.2">
      <c r="B6" t="s">
        <v>18</v>
      </c>
      <c r="C6">
        <f>1827+1009</f>
        <v>2836</v>
      </c>
    </row>
    <row r="7" spans="2:3" x14ac:dyDescent="0.2"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Model</vt:lpstr>
      <vt:lpstr>Business Overview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2023-08-28T13:17:56Z</dcterms:created>
  <dcterms:modified xsi:type="dcterms:W3CDTF">2023-08-28T14:10:57Z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2023-08-28T13:18:00Z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73f2faa6-c233-46bb-a8c4-7e65abcae0a5</vt:lpwstr>
  </property>
  <property fmtid="{D5CDD505-2E9C-101B-9397-08002B2CF9AE}" pid="8" name="MSIP_Label_defa4170-0d19-0005-0004-bc88714345d2_ContentBits">
    <vt:lpwstr>0</vt:lpwstr>
  </property>
</Properties>
</file>